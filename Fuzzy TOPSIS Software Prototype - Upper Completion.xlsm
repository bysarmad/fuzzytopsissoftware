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Code/Final/"/>
    </mc:Choice>
  </mc:AlternateContent>
  <xr:revisionPtr revIDLastSave="581" documentId="8_{A2AAFE02-A795-4205-8455-08163B7F00D0}" xr6:coauthVersionLast="45" xr6:coauthVersionMax="45" xr10:uidLastSave="{FD693895-CEE5-4C6C-8320-B985AE405A74}"/>
  <bookViews>
    <workbookView minimized="1" xWindow="5205" yWindow="3885" windowWidth="14385" windowHeight="8325" firstSheet="1" activeTab="2" xr2:uid="{00000000-000D-0000-FFFF-FFFF00000000}"/>
  </bookViews>
  <sheets>
    <sheet name="Data of criteria" sheetId="1" r:id="rId1"/>
    <sheet name="Dashboard Data" sheetId="7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8" l="1"/>
  <c r="G9" i="8"/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AA125" i="6" s="1"/>
  <c r="T77" i="6"/>
  <c r="T120" i="6" s="1"/>
  <c r="S75" i="6"/>
  <c r="S118" i="6" s="1"/>
  <c r="T82" i="6"/>
  <c r="T125" i="6" s="1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S121" i="6" s="1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R124" i="6" s="1"/>
  <c r="Z79" i="6"/>
  <c r="Z122" i="6" s="1"/>
  <c r="W76" i="6"/>
  <c r="W119" i="6" s="1"/>
  <c r="V81" i="6"/>
  <c r="U78" i="6"/>
  <c r="U75" i="6"/>
  <c r="U118" i="6" s="1"/>
  <c r="W74" i="6"/>
  <c r="W117" i="6" s="1"/>
  <c r="AB80" i="6"/>
  <c r="Y81" i="6"/>
  <c r="Y78" i="6"/>
  <c r="Y121" i="6" s="1"/>
  <c r="S74" i="6"/>
  <c r="S117" i="6" s="1"/>
  <c r="T75" i="6"/>
  <c r="T118" i="6" s="1"/>
  <c r="U73" i="6"/>
  <c r="U116" i="6" s="1"/>
  <c r="AC78" i="6"/>
  <c r="AC121" i="6" s="1"/>
  <c r="T74" i="6"/>
  <c r="T117" i="6" s="1"/>
  <c r="X74" i="6"/>
  <c r="T79" i="6"/>
  <c r="Z75" i="6"/>
  <c r="Z118" i="6" s="1"/>
  <c r="S80" i="6"/>
  <c r="S123" i="6" s="1"/>
  <c r="R75" i="6"/>
  <c r="R118" i="6" s="1"/>
  <c r="AC75" i="6"/>
  <c r="W79" i="6"/>
  <c r="W122" i="6" s="1"/>
  <c r="S79" i="6"/>
  <c r="S122" i="6" s="1"/>
  <c r="S82" i="6"/>
  <c r="X73" i="6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T119" i="6" s="1"/>
  <c r="U77" i="6"/>
  <c r="U120" i="6" s="1"/>
  <c r="S76" i="6"/>
  <c r="S119" i="6" s="1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73" i="6"/>
  <c r="S116" i="6" s="1"/>
  <c r="R116" i="6"/>
  <c r="X119" i="6"/>
  <c r="U121" i="6"/>
  <c r="AC124" i="6"/>
  <c r="AC120" i="6"/>
  <c r="AB116" i="6"/>
  <c r="X123" i="6"/>
  <c r="V121" i="6"/>
  <c r="V73" i="6"/>
  <c r="V116" i="6" s="1"/>
  <c r="Z120" i="6"/>
  <c r="Z121" i="6"/>
  <c r="X116" i="6"/>
  <c r="Y118" i="6"/>
  <c r="Y119" i="6"/>
  <c r="Y124" i="6"/>
  <c r="Z116" i="6"/>
  <c r="S125" i="6"/>
  <c r="U124" i="6"/>
  <c r="AA120" i="6"/>
  <c r="X117" i="6"/>
  <c r="V120" i="6"/>
  <c r="V124" i="6"/>
  <c r="V119" i="6"/>
  <c r="U123" i="6"/>
  <c r="Z123" i="6"/>
  <c r="AA124" i="6"/>
  <c r="AB117" i="6"/>
  <c r="Y73" i="6"/>
  <c r="Y116" i="6" s="1"/>
  <c r="AB123" i="6"/>
  <c r="X121" i="6"/>
  <c r="T122" i="6"/>
  <c r="R125" i="6"/>
  <c r="Y123" i="6"/>
  <c r="W123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<sst xmlns="http://schemas.openxmlformats.org/spreadsheetml/2006/main" count="5196" uniqueCount="413">
  <si>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</si>
  <si>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</si>
  <si>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</si>
  <si>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</si>
  <si>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</si>
  <si>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</si>
  <si>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</si>
  <si>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</si>
  <si>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</si>
  <si>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</si>
  <si>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</si>
  <si>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</si>
  <si>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</si>
  <si>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</si>
  <si>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</si>
  <si>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</si>
  <si>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</si>
  <si>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</si>
  <si>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</si>
  <si>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</si>
  <si>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</si>
  <si>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</si>
  <si>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</si>
  <si>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</si>
  <si>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</si>
  <si>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</si>
  <si>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</si>
  <si>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</si>
  <si>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</si>
  <si>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</si>
  <si>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</si>
  <si>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</si>
  <si>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</si>
  <si>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</si>
  <si>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</si>
  <si>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</si>
  <si>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</si>
  <si>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</si>
  <si>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</si>
  <si>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</si>
  <si>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</si>
  <si>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</si>
  <si>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</si>
  <si>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</si>
  <si>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</si>
  <si>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</si>
  <si>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</si>
  <si>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</si>
  <si>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</si>
  <si>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</si>
  <si>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</si>
  <si>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</si>
  <si>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</si>
  <si>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</si>
  <si>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</si>
  <si>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</si>
  <si>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</si>
  <si>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</si>
  <si>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</si>
  <si>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</si>
  <si>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</si>
  <si>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</si>
  <si>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</si>
  <si>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</si>
  <si>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</si>
  <si>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</si>
  <si>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</si>
  <si>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</si>
  <si>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</si>
  <si>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</si>
  <si>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</si>
  <si>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</si>
  <si>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</si>
  <si>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</si>
  <si>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</si>
  <si>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</si>
  <si>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</si>
  <si>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</si>
  <si>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</si>
  <si>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</si>
  <si>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</si>
  <si>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</si>
  <si>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</si>
  <si>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</si>
  <si>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</si>
  <si>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</si>
  <si>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</si>
  <si>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</si>
  <si>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</si>
  <si>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</si>
  <si>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</si>
  <si>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</si>
  <si>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</si>
  <si>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</si>
  <si>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</si>
  <si>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</si>
  <si>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</si>
  <si>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</si>
  <si>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</si>
  <si>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</si>
  <si>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</si>
  <si>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</si>
  <si>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</si>
  <si>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</si>
  <si>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</si>
  <si>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</si>
  <si>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</si>
  <si>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</si>
  <si>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</si>
  <si>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</si>
  <si>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</si>
  <si>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</si>
  <si>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</si>
  <si>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</si>
  <si>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</si>
  <si>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</si>
  <si>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</si>
  <si>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</si>
  <si>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</si>
  <si>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</si>
  <si>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</si>
  <si>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</si>
  <si>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</si>
  <si>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</si>
  <si>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</si>
  <si>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</si>
  <si>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</si>
  <si>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</si>
  <si>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</si>
  <si>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</si>
  <si>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</si>
  <si>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</si>
  <si>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</si>
  <si>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</si>
  <si>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</si>
  <si>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</si>
  <si>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</si>
  <si>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</si>
  <si>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</si>
  <si>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</si>
  <si>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</si>
  <si>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</si>
  <si>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</si>
  <si>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</si>
  <si>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</si>
  <si>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</si>
  <si>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</si>
  <si>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</si>
  <si>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</si>
  <si>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</si>
  <si>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</si>
  <si>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</si>
  <si>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</si>
  <si>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</si>
  <si>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</si>
  <si>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</si>
  <si>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</si>
  <si>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</si>
  <si>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</si>
  <si>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</si>
  <si>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</si>
  <si>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</si>
  <si>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</si>
  <si>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</si>
  <si>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</si>
  <si>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</si>
  <si>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</si>
  <si>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</si>
  <si>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</si>
  <si>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</si>
  <si>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</si>
  <si>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</si>
  <si>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</si>
  <si>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</si>
  <si>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</si>
  <si>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</si>
  <si>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</si>
  <si>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</si>
  <si>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</si>
  <si>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</si>
  <si>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</si>
  <si>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</si>
  <si>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</si>
  <si>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</si>
  <si>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</si>
  <si>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</si>
  <si>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</si>
  <si>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</si>
  <si>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</si>
  <si>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</si>
  <si>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</si>
  <si>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</si>
  <si>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</si>
  <si>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</si>
  <si>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</si>
  <si>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</si>
  <si>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</si>
  <si>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</si>
  <si>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</si>
  <si>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</si>
  <si>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</si>
  <si>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</si>
  <si>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</si>
  <si>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</si>
  <si>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</si>
  <si>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</si>
  <si>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</si>
  <si>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</si>
  <si>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</si>
  <si>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</si>
  <si>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</si>
  <si>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</si>
  <si>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</si>
  <si>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</si>
  <si>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</si>
  <si>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</si>
  <si>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</si>
  <si>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</si>
  <si>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</si>
  <si>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</si>
  <si>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</si>
  <si>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</si>
  <si>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</si>
  <si>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</si>
  <si>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</si>
  <si>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</si>
  <si>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</si>
  <si>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</si>
  <si>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</si>
  <si>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</si>
  <si>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</si>
  <si>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</si>
  <si>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</si>
  <si>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</si>
  <si>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</si>
  <si>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</si>
  <si>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</si>
  <si>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</si>
  <si>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</si>
  <si>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</si>
  <si>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</si>
  <si>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</si>
  <si>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</si>
  <si>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</si>
  <si>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</si>
  <si>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</si>
  <si>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</si>
  <si>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</si>
  <si>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</si>
  <si>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</si>
  <si>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</si>
  <si>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</si>
  <si>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</si>
  <si>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</si>
  <si>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</si>
  <si>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</si>
  <si>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</si>
  <si>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</si>
  <si>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</si>
  <si>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</si>
  <si>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</si>
  <si>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</si>
  <si>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</si>
  <si>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</si>
  <si>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</si>
  <si>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</si>
  <si>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</si>
  <si>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</si>
  <si>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</si>
  <si>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</si>
  <si>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</si>
  <si>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</si>
  <si>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</si>
  <si>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</si>
  <si>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</si>
  <si>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</si>
  <si>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</si>
  <si>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</si>
  <si>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</si>
  <si>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</si>
  <si>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</si>
  <si>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</si>
  <si>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</si>
  <si>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</si>
  <si>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</si>
  <si>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</si>
  <si>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</si>
  <si>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</si>
  <si>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</si>
  <si>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</si>
  <si>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</si>
  <si>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</si>
  <si>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</si>
  <si>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</si>
  <si>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</si>
  <si>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</si>
  <si>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</si>
  <si>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</si>
  <si>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</si>
  <si>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</si>
  <si>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</si>
  <si>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</si>
  <si>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</si>
  <si>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</si>
  <si>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</si>
  <si>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</si>
  <si>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</si>
  <si>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</si>
  <si>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</si>
  <si>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</si>
  <si>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</si>
  <si>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</si>
  <si>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</si>
  <si>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</si>
  <si>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</si>
  <si>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</si>
  <si>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</si>
  <si>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</si>
  <si>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</si>
  <si>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</si>
  <si>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</si>
  <si>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</si>
  <si>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</si>
  <si>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</si>
  <si>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</si>
  <si>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</si>
  <si>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</si>
  <si>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</si>
  <si>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</si>
  <si>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</si>
  <si>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</si>
  <si>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</si>
  <si>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</si>
  <si>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</si>
  <si>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</si>
  <si>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</si>
  <si>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</si>
  <si>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</si>
  <si>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</si>
  <si>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</si>
  <si>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</si>
  <si>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</si>
  <si>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</si>
  <si>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</si>
  <si>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</si>
  <si>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</si>
  <si>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</si>
  <si>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</si>
  <si>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</si>
  <si>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</si>
  <si>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</si>
  <si>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</si>
  <si>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</si>
  <si>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</si>
  <si>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</si>
  <si>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</si>
  <si>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</si>
  <si>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</si>
  <si>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</si>
  <si>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</si>
  <si>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</si>
  <si>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</si>
  <si>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</si>
  <si>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</si>
  <si>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</si>
  <si>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</si>
  <si>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</si>
  <si>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</si>
  <si>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</si>
  <si>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</si>
  <si>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</si>
  <si>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</si>
  <si>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</si>
  <si>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</si>
  <si>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</si>
  <si>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</si>
  <si>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</si>
  <si>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</si>
  <si>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</si>
  <si>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</si>
  <si>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</si>
  <si>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</si>
  <si>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</si>
  <si>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</si>
  <si>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</si>
  <si>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</si>
  <si>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</si>
  <si>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</si>
  <si>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</si>
  <si>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</si>
  <si>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</si>
  <si>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</si>
  <si>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</si>
  <si>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</si>
  <si>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</si>
  <si>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</si>
  <si>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</si>
  <si>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</si>
  <si>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</si>
  <si>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</si>
  <si>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</si>
  <si>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</si>
  <si>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</si>
  <si>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</si>
  <si>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</si>
  <si>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</si>
  <si>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</si>
  <si>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</si>
  <si>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</si>
  <si>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5'' Tubing</t>
  </si>
  <si>
    <t>7'' Tubing</t>
  </si>
  <si>
    <t>Permanent Packer</t>
  </si>
  <si>
    <t>Retrievable Packer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</si>
</sst>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opLeftCell="A2" workbookViewId="0">
      <selection activeCell="D3" sqref="D3:D4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58" customFormat="1" ht="48.75" customHeight="1" x14ac:dyDescent="0.25"/>
    <row r="2" spans="2:32" ht="16.5" thickBot="1" x14ac:dyDescent="0.3"/>
    <row r="3" spans="2:32" ht="16.5" thickBot="1" x14ac:dyDescent="0.3">
      <c r="B3" s="161" t="s">
        <v>326</v>
      </c>
      <c r="C3" s="162"/>
      <c r="D3" s="167">
        <v>4</v>
      </c>
      <c r="F3" s="161" t="s">
        <v>328</v>
      </c>
      <c r="G3" s="162"/>
      <c r="H3" s="167">
        <v>3</v>
      </c>
      <c r="J3" s="161" t="s">
        <v>329</v>
      </c>
      <c r="K3" s="162"/>
      <c r="L3" s="167">
        <v>2</v>
      </c>
      <c r="N3" s="151" t="s">
        <v>327</v>
      </c>
      <c r="O3" s="152"/>
      <c r="P3" s="152"/>
      <c r="Q3" s="153"/>
      <c r="R3" s="10"/>
    </row>
    <row r="4" spans="2:32" ht="16.5" thickBot="1" x14ac:dyDescent="0.3">
      <c r="B4" s="163"/>
      <c r="C4" s="164"/>
      <c r="D4" s="168"/>
      <c r="F4" s="163"/>
      <c r="G4" s="164"/>
      <c r="H4" s="168"/>
      <c r="J4" s="163"/>
      <c r="K4" s="164"/>
      <c r="L4" s="168"/>
      <c r="N4" s="154"/>
      <c r="O4" s="155"/>
      <c r="P4" s="135" t="s">
        <v>330</v>
      </c>
      <c r="Q4" s="136" t="s">
        <v>331</v>
      </c>
    </row>
    <row r="5" spans="2:32" ht="16.5" thickBot="1" x14ac:dyDescent="0.3">
      <c r="N5" s="149" t="s">
        <v>332</v>
      </c>
      <c r="O5" s="150"/>
      <c r="P5" s="119">
        <v>1</v>
      </c>
      <c r="Q5" s="120">
        <v>-1</v>
      </c>
    </row>
    <row r="6" spans="2:32" ht="6" customHeight="1" x14ac:dyDescent="0.25">
      <c r="N6" s="111"/>
      <c r="O6" s="111"/>
      <c r="P6" s="126"/>
      <c r="Q6" s="126"/>
    </row>
    <row r="7" spans="2:32" ht="16.5" thickBot="1" x14ac:dyDescent="0.3">
      <c r="B7" s="159" t="s">
        <v>407</v>
      </c>
      <c r="C7" s="159"/>
      <c r="D7" s="159"/>
      <c r="F7" s="159" t="s">
        <v>335</v>
      </c>
      <c r="G7" s="159"/>
      <c r="H7" s="159"/>
      <c r="J7" s="160" t="s">
        <v>335</v>
      </c>
      <c r="K7" s="160"/>
      <c r="L7" s="160"/>
      <c r="N7" s="160" t="s">
        <v>335</v>
      </c>
      <c r="O7" s="160"/>
      <c r="P7" s="160"/>
    </row>
    <row r="8" spans="2:32" x14ac:dyDescent="0.25">
      <c r="B8" s="128" t="s">
        <v>327</v>
      </c>
      <c r="C8" s="129" t="s">
        <v>209</v>
      </c>
      <c r="D8" s="130" t="s">
        <v>333</v>
      </c>
      <c r="F8" s="128" t="s">
        <v>327</v>
      </c>
      <c r="G8" s="129" t="s">
        <v>209</v>
      </c>
      <c r="H8" s="130" t="s">
        <v>333</v>
      </c>
      <c r="J8" s="128" t="s">
        <v>327</v>
      </c>
      <c r="K8" s="129" t="s">
        <v>209</v>
      </c>
      <c r="L8" s="130" t="s">
        <v>333</v>
      </c>
      <c r="N8" s="131" t="s">
        <v>327</v>
      </c>
      <c r="O8" s="132" t="s">
        <v>209</v>
      </c>
      <c r="P8" s="133" t="s">
        <v>333</v>
      </c>
      <c r="R8" s="121"/>
      <c r="S8" s="121"/>
      <c r="T8" s="121"/>
      <c r="U8" s="111"/>
      <c r="V8" s="121"/>
      <c r="W8" s="121"/>
      <c r="X8" s="121"/>
      <c r="Y8" s="111"/>
      <c r="Z8" s="121"/>
      <c r="AA8" s="121"/>
      <c r="AB8" s="121"/>
      <c r="AC8" s="111"/>
      <c r="AD8" s="121"/>
      <c r="AE8" s="121"/>
      <c r="AF8" s="121"/>
    </row>
    <row r="9" spans="2:32" x14ac:dyDescent="0.25">
      <c r="B9" s="169" t="s">
        <v>210</v>
      </c>
      <c r="C9" s="165">
        <v>1</v>
      </c>
      <c r="D9" s="7">
        <v>0.7</v>
      </c>
      <c r="F9" s="169" t="s">
        <v>213</v>
      </c>
      <c r="G9" s="165"/>
      <c r="H9" s="7"/>
      <c r="J9" s="169" t="s">
        <v>216</v>
      </c>
      <c r="K9" s="156"/>
      <c r="L9" s="4"/>
      <c r="N9" s="169" t="s">
        <v>219</v>
      </c>
      <c r="O9" s="156"/>
      <c r="P9" s="4"/>
      <c r="R9" s="122"/>
      <c r="S9" s="122"/>
      <c r="T9" s="111"/>
      <c r="U9" s="111"/>
      <c r="V9" s="122"/>
      <c r="W9" s="122"/>
      <c r="X9" s="111"/>
      <c r="Y9" s="111"/>
      <c r="Z9" s="122"/>
      <c r="AA9" s="122"/>
      <c r="AB9" s="111"/>
      <c r="AC9" s="111"/>
      <c r="AD9" s="122"/>
      <c r="AE9" s="122"/>
      <c r="AF9" s="111"/>
    </row>
    <row r="10" spans="2:32" x14ac:dyDescent="0.25">
      <c r="B10" s="169"/>
      <c r="C10" s="165"/>
      <c r="D10" s="7">
        <v>0.9</v>
      </c>
      <c r="F10" s="169"/>
      <c r="G10" s="165"/>
      <c r="H10" s="7"/>
      <c r="J10" s="169"/>
      <c r="K10" s="156"/>
      <c r="L10" s="4"/>
      <c r="N10" s="169"/>
      <c r="O10" s="156"/>
      <c r="P10" s="4"/>
      <c r="R10" s="122"/>
      <c r="S10" s="122"/>
      <c r="T10" s="111"/>
      <c r="U10" s="111"/>
      <c r="V10" s="122"/>
      <c r="W10" s="122"/>
      <c r="X10" s="111"/>
      <c r="Y10" s="111"/>
      <c r="Z10" s="122"/>
      <c r="AA10" s="122"/>
      <c r="AB10" s="111"/>
      <c r="AC10" s="111"/>
      <c r="AD10" s="122"/>
      <c r="AE10" s="122"/>
      <c r="AF10" s="111"/>
    </row>
    <row r="11" spans="2:32" ht="16.5" thickBot="1" x14ac:dyDescent="0.3">
      <c r="B11" s="170"/>
      <c r="C11" s="166"/>
      <c r="D11" s="8">
        <v>1</v>
      </c>
      <c r="F11" s="170"/>
      <c r="G11" s="166"/>
      <c r="H11" s="8"/>
      <c r="J11" s="170"/>
      <c r="K11" s="157"/>
      <c r="L11" s="9"/>
      <c r="N11" s="170"/>
      <c r="O11" s="157"/>
      <c r="P11" s="9"/>
      <c r="R11" s="122"/>
      <c r="S11" s="122"/>
      <c r="T11" s="111"/>
      <c r="U11" s="111"/>
      <c r="V11" s="122"/>
      <c r="W11" s="122"/>
      <c r="X11" s="111"/>
      <c r="Y11" s="111"/>
      <c r="Z11" s="122"/>
      <c r="AA11" s="122"/>
      <c r="AB11" s="111"/>
      <c r="AC11" s="111"/>
      <c r="AD11" s="122"/>
      <c r="AE11" s="122"/>
      <c r="AF11" s="111"/>
    </row>
    <row r="12" spans="2:32" ht="16.5" thickBot="1" x14ac:dyDescent="0.3">
      <c r="B12" s="159" t="s">
        <v>408</v>
      </c>
      <c r="C12" s="159"/>
      <c r="D12" s="159"/>
      <c r="F12" s="160" t="s">
        <v>335</v>
      </c>
      <c r="G12" s="160"/>
      <c r="H12" s="160"/>
      <c r="J12" s="160" t="s">
        <v>335</v>
      </c>
      <c r="K12" s="160"/>
      <c r="L12" s="160"/>
      <c r="N12" s="160" t="s">
        <v>335</v>
      </c>
      <c r="O12" s="160"/>
      <c r="P12" s="160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8" t="s">
        <v>327</v>
      </c>
      <c r="C13" s="129" t="s">
        <v>209</v>
      </c>
      <c r="D13" s="130" t="s">
        <v>333</v>
      </c>
      <c r="F13" s="128" t="s">
        <v>327</v>
      </c>
      <c r="G13" s="129" t="s">
        <v>209</v>
      </c>
      <c r="H13" s="130" t="s">
        <v>333</v>
      </c>
      <c r="J13" s="128" t="s">
        <v>327</v>
      </c>
      <c r="K13" s="129" t="s">
        <v>209</v>
      </c>
      <c r="L13" s="130" t="s">
        <v>333</v>
      </c>
      <c r="N13" s="128" t="s">
        <v>327</v>
      </c>
      <c r="O13" s="129" t="s">
        <v>209</v>
      </c>
      <c r="P13" s="130" t="s">
        <v>333</v>
      </c>
      <c r="R13" s="121"/>
      <c r="S13" s="121"/>
      <c r="T13" s="121"/>
      <c r="U13" s="111"/>
      <c r="V13" s="121"/>
      <c r="W13" s="121"/>
      <c r="X13" s="121"/>
      <c r="Y13" s="111"/>
      <c r="Z13" s="121"/>
      <c r="AA13" s="121"/>
      <c r="AB13" s="121"/>
      <c r="AC13" s="111"/>
      <c r="AD13" s="121"/>
      <c r="AE13" s="121"/>
      <c r="AF13" s="121"/>
    </row>
    <row r="14" spans="2:32" x14ac:dyDescent="0.25">
      <c r="B14" s="169" t="s">
        <v>211</v>
      </c>
      <c r="C14" s="165">
        <v>-1</v>
      </c>
      <c r="D14" s="7">
        <v>0.5</v>
      </c>
      <c r="F14" s="169" t="s">
        <v>214</v>
      </c>
      <c r="G14" s="165"/>
      <c r="H14" s="7"/>
      <c r="J14" s="169" t="s">
        <v>217</v>
      </c>
      <c r="K14" s="156"/>
      <c r="L14" s="4"/>
      <c r="N14" s="169" t="s">
        <v>220</v>
      </c>
      <c r="O14" s="156"/>
      <c r="P14" s="4"/>
      <c r="R14" s="122"/>
      <c r="S14" s="122"/>
      <c r="T14" s="111"/>
      <c r="U14" s="111"/>
      <c r="V14" s="122"/>
      <c r="W14" s="122"/>
      <c r="X14" s="111"/>
      <c r="Y14" s="111"/>
      <c r="Z14" s="122"/>
      <c r="AA14" s="122"/>
      <c r="AB14" s="111"/>
      <c r="AC14" s="111"/>
      <c r="AD14" s="122"/>
      <c r="AE14" s="122"/>
      <c r="AF14" s="111"/>
    </row>
    <row r="15" spans="2:32" x14ac:dyDescent="0.25">
      <c r="B15" s="169"/>
      <c r="C15" s="165"/>
      <c r="D15" s="7">
        <v>0.7</v>
      </c>
      <c r="F15" s="169"/>
      <c r="G15" s="165"/>
      <c r="H15" s="7"/>
      <c r="J15" s="169"/>
      <c r="K15" s="156"/>
      <c r="L15" s="4"/>
      <c r="N15" s="169"/>
      <c r="O15" s="156"/>
      <c r="P15" s="4"/>
      <c r="R15" s="122"/>
      <c r="S15" s="122"/>
      <c r="T15" s="111"/>
      <c r="U15" s="111"/>
      <c r="V15" s="122"/>
      <c r="W15" s="122"/>
      <c r="X15" s="111"/>
      <c r="Y15" s="111"/>
      <c r="Z15" s="122"/>
      <c r="AA15" s="122"/>
      <c r="AB15" s="111"/>
      <c r="AC15" s="111"/>
      <c r="AD15" s="122"/>
      <c r="AE15" s="122"/>
      <c r="AF15" s="111"/>
    </row>
    <row r="16" spans="2:32" ht="16.5" thickBot="1" x14ac:dyDescent="0.3">
      <c r="B16" s="170"/>
      <c r="C16" s="166"/>
      <c r="D16" s="8">
        <v>0.9</v>
      </c>
      <c r="F16" s="170"/>
      <c r="G16" s="166"/>
      <c r="H16" s="8"/>
      <c r="J16" s="170"/>
      <c r="K16" s="157"/>
      <c r="L16" s="9"/>
      <c r="N16" s="170"/>
      <c r="O16" s="157"/>
      <c r="P16" s="9"/>
      <c r="R16" s="122"/>
      <c r="S16" s="122"/>
      <c r="T16" s="111"/>
      <c r="U16" s="111"/>
      <c r="V16" s="122"/>
      <c r="W16" s="122"/>
      <c r="X16" s="111"/>
      <c r="Y16" s="111"/>
      <c r="Z16" s="122"/>
      <c r="AA16" s="122"/>
      <c r="AB16" s="111"/>
      <c r="AC16" s="111"/>
      <c r="AD16" s="122"/>
      <c r="AE16" s="122"/>
      <c r="AF16" s="111"/>
    </row>
    <row r="17" spans="2:32" ht="16.5" thickBot="1" x14ac:dyDescent="0.3">
      <c r="B17" s="159" t="s">
        <v>349</v>
      </c>
      <c r="C17" s="159"/>
      <c r="D17" s="159"/>
      <c r="F17" s="160" t="s">
        <v>335</v>
      </c>
      <c r="G17" s="160"/>
      <c r="H17" s="160"/>
      <c r="J17" s="160" t="s">
        <v>335</v>
      </c>
      <c r="K17" s="160"/>
      <c r="L17" s="160"/>
      <c r="N17" s="160" t="s">
        <v>335</v>
      </c>
      <c r="O17" s="160"/>
      <c r="P17" s="160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8" t="s">
        <v>327</v>
      </c>
      <c r="C18" s="129" t="s">
        <v>209</v>
      </c>
      <c r="D18" s="130" t="s">
        <v>333</v>
      </c>
      <c r="F18" s="128" t="s">
        <v>327</v>
      </c>
      <c r="G18" s="129" t="s">
        <v>209</v>
      </c>
      <c r="H18" s="130" t="s">
        <v>333</v>
      </c>
      <c r="J18" s="128" t="s">
        <v>327</v>
      </c>
      <c r="K18" s="129" t="s">
        <v>209</v>
      </c>
      <c r="L18" s="130" t="s">
        <v>333</v>
      </c>
      <c r="N18" s="128" t="s">
        <v>327</v>
      </c>
      <c r="O18" s="129" t="s">
        <v>209</v>
      </c>
      <c r="P18" s="130" t="s">
        <v>333</v>
      </c>
      <c r="R18" s="121"/>
      <c r="S18" s="121"/>
      <c r="T18" s="121"/>
      <c r="U18" s="111"/>
      <c r="V18" s="121"/>
      <c r="W18" s="121"/>
      <c r="X18" s="121"/>
      <c r="Y18" s="111"/>
      <c r="Z18" s="121"/>
      <c r="AA18" s="121"/>
      <c r="AB18" s="121"/>
      <c r="AC18" s="111"/>
      <c r="AD18" s="121"/>
      <c r="AE18" s="121"/>
      <c r="AF18" s="121"/>
    </row>
    <row r="19" spans="2:32" x14ac:dyDescent="0.25">
      <c r="B19" s="169" t="s">
        <v>212</v>
      </c>
      <c r="C19" s="165">
        <v>1</v>
      </c>
      <c r="D19" s="7">
        <v>0.9</v>
      </c>
      <c r="F19" s="169" t="s">
        <v>215</v>
      </c>
      <c r="G19" s="165"/>
      <c r="H19" s="7"/>
      <c r="J19" s="169" t="s">
        <v>218</v>
      </c>
      <c r="K19" s="156"/>
      <c r="L19" s="4"/>
      <c r="N19" s="169" t="s">
        <v>221</v>
      </c>
      <c r="O19" s="156"/>
      <c r="P19" s="4"/>
      <c r="R19" s="122"/>
      <c r="S19" s="122"/>
      <c r="T19" s="111"/>
      <c r="U19" s="111"/>
      <c r="V19" s="122"/>
      <c r="W19" s="122"/>
      <c r="X19" s="111"/>
      <c r="Y19" s="111"/>
      <c r="Z19" s="122"/>
      <c r="AA19" s="122"/>
      <c r="AB19" s="111"/>
      <c r="AC19" s="111"/>
      <c r="AD19" s="122"/>
      <c r="AE19" s="122"/>
      <c r="AF19" s="111"/>
    </row>
    <row r="20" spans="2:32" x14ac:dyDescent="0.25">
      <c r="B20" s="169"/>
      <c r="C20" s="165"/>
      <c r="D20" s="7">
        <v>1</v>
      </c>
      <c r="F20" s="169"/>
      <c r="G20" s="165"/>
      <c r="H20" s="7"/>
      <c r="J20" s="169"/>
      <c r="K20" s="156"/>
      <c r="L20" s="4"/>
      <c r="N20" s="169"/>
      <c r="O20" s="156"/>
      <c r="P20" s="4"/>
      <c r="R20" s="122"/>
      <c r="S20" s="122"/>
      <c r="T20" s="111"/>
      <c r="U20" s="111"/>
      <c r="V20" s="122"/>
      <c r="W20" s="122"/>
      <c r="X20" s="111"/>
      <c r="Y20" s="111"/>
      <c r="Z20" s="122"/>
      <c r="AA20" s="122"/>
      <c r="AB20" s="111"/>
      <c r="AC20" s="111"/>
      <c r="AD20" s="122"/>
      <c r="AE20" s="122"/>
      <c r="AF20" s="111"/>
    </row>
    <row r="21" spans="2:32" ht="16.5" thickBot="1" x14ac:dyDescent="0.3">
      <c r="B21" s="170"/>
      <c r="C21" s="166"/>
      <c r="D21" s="8">
        <v>1</v>
      </c>
      <c r="F21" s="170"/>
      <c r="G21" s="166"/>
      <c r="H21" s="8"/>
      <c r="J21" s="170"/>
      <c r="K21" s="157"/>
      <c r="L21" s="9"/>
      <c r="N21" s="170"/>
      <c r="O21" s="157"/>
      <c r="P21" s="9"/>
      <c r="R21" s="122"/>
      <c r="S21" s="122"/>
      <c r="T21" s="111"/>
      <c r="U21" s="111"/>
      <c r="V21" s="122"/>
      <c r="W21" s="122"/>
      <c r="X21" s="111"/>
      <c r="Y21" s="111"/>
      <c r="Z21" s="122"/>
      <c r="AA21" s="122"/>
      <c r="AB21" s="111"/>
      <c r="AC21" s="111"/>
      <c r="AD21" s="122"/>
      <c r="AE21" s="122"/>
      <c r="AF21" s="111"/>
    </row>
    <row r="23" spans="2:32" x14ac:dyDescent="0.25">
      <c r="B23" s="121"/>
      <c r="C23" s="121"/>
      <c r="D23" s="121"/>
      <c r="E23" s="111"/>
      <c r="F23" s="121"/>
      <c r="G23" s="121"/>
      <c r="H23" s="121"/>
      <c r="I23" s="111"/>
      <c r="J23" s="121"/>
      <c r="K23" s="121"/>
      <c r="L23" s="121"/>
      <c r="M23" s="111"/>
      <c r="N23" s="121"/>
      <c r="O23" s="121"/>
      <c r="P23" s="121"/>
      <c r="Q23" s="111"/>
      <c r="R23" s="121"/>
      <c r="S23" s="121"/>
      <c r="T23" s="121"/>
      <c r="U23" s="111"/>
      <c r="V23" s="121"/>
      <c r="W23" s="121"/>
      <c r="X23" s="121"/>
      <c r="Y23" s="111"/>
      <c r="Z23" s="121"/>
      <c r="AA23" s="121"/>
      <c r="AB23" s="121"/>
      <c r="AC23" s="111"/>
      <c r="AD23" s="121"/>
      <c r="AE23" s="121"/>
      <c r="AF23" s="121"/>
    </row>
    <row r="24" spans="2:32" x14ac:dyDescent="0.25">
      <c r="B24" s="122"/>
      <c r="C24" s="123"/>
      <c r="D24" s="112"/>
      <c r="E24" s="111"/>
      <c r="F24" s="122"/>
      <c r="G24" s="123"/>
      <c r="H24" s="112"/>
      <c r="I24" s="111"/>
      <c r="J24" s="122"/>
      <c r="K24" s="122"/>
      <c r="L24" s="111"/>
      <c r="M24" s="111"/>
      <c r="N24" s="122"/>
      <c r="O24" s="122"/>
      <c r="P24" s="111"/>
      <c r="Q24" s="111"/>
      <c r="R24" s="122"/>
      <c r="S24" s="122"/>
      <c r="T24" s="111"/>
      <c r="U24" s="111"/>
      <c r="V24" s="122"/>
      <c r="W24" s="122"/>
      <c r="X24" s="111"/>
      <c r="Y24" s="111"/>
      <c r="Z24" s="122"/>
      <c r="AA24" s="122"/>
      <c r="AB24" s="111"/>
      <c r="AC24" s="111"/>
      <c r="AD24" s="122"/>
      <c r="AE24" s="122"/>
      <c r="AF24" s="111"/>
    </row>
    <row r="25" spans="2:32" x14ac:dyDescent="0.25">
      <c r="B25" s="122"/>
      <c r="C25" s="123"/>
      <c r="D25" s="112"/>
      <c r="E25" s="111"/>
      <c r="F25" s="122"/>
      <c r="G25" s="123"/>
      <c r="H25" s="112"/>
      <c r="I25" s="111"/>
      <c r="J25" s="122"/>
      <c r="K25" s="122"/>
      <c r="L25" s="111"/>
      <c r="M25" s="111"/>
      <c r="N25" s="122"/>
      <c r="O25" s="122"/>
      <c r="P25" s="111"/>
      <c r="Q25" s="111"/>
      <c r="R25" s="122"/>
      <c r="S25" s="122"/>
      <c r="T25" s="111"/>
      <c r="U25" s="111"/>
      <c r="V25" s="122"/>
      <c r="W25" s="122"/>
      <c r="X25" s="111"/>
      <c r="Y25" s="111"/>
      <c r="Z25" s="122"/>
      <c r="AA25" s="122"/>
      <c r="AB25" s="111"/>
      <c r="AC25" s="111"/>
      <c r="AD25" s="122"/>
      <c r="AE25" s="122"/>
      <c r="AF25" s="111"/>
    </row>
    <row r="26" spans="2:32" x14ac:dyDescent="0.25">
      <c r="B26" s="122"/>
      <c r="C26" s="123"/>
      <c r="D26" s="112"/>
      <c r="E26" s="111"/>
      <c r="F26" s="122"/>
      <c r="G26" s="123"/>
      <c r="H26" s="112"/>
      <c r="I26" s="111"/>
      <c r="J26" s="122"/>
      <c r="K26" s="122"/>
      <c r="L26" s="111"/>
      <c r="M26" s="111"/>
      <c r="N26" s="122"/>
      <c r="O26" s="122"/>
      <c r="P26" s="111"/>
      <c r="Q26" s="111"/>
      <c r="R26" s="122"/>
      <c r="S26" s="122"/>
      <c r="T26" s="111"/>
      <c r="U26" s="111"/>
      <c r="V26" s="122"/>
      <c r="W26" s="122"/>
      <c r="X26" s="111"/>
      <c r="Y26" s="111"/>
      <c r="Z26" s="122"/>
      <c r="AA26" s="122"/>
      <c r="AB26" s="111"/>
      <c r="AC26" s="111"/>
      <c r="AD26" s="122"/>
      <c r="AE26" s="122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1"/>
      <c r="C28" s="121"/>
      <c r="D28" s="121"/>
      <c r="E28" s="111"/>
      <c r="F28" s="121"/>
      <c r="G28" s="121"/>
      <c r="H28" s="121"/>
      <c r="I28" s="111"/>
      <c r="J28" s="121"/>
      <c r="K28" s="121"/>
      <c r="L28" s="121"/>
      <c r="M28" s="111"/>
      <c r="N28" s="121"/>
      <c r="O28" s="121"/>
      <c r="P28" s="121"/>
      <c r="Q28" s="111"/>
      <c r="R28" s="121"/>
      <c r="S28" s="121"/>
      <c r="T28" s="121"/>
      <c r="U28" s="111"/>
      <c r="V28" s="121"/>
      <c r="W28" s="121"/>
      <c r="X28" s="121"/>
      <c r="Y28" s="111"/>
      <c r="Z28" s="121"/>
      <c r="AA28" s="121"/>
      <c r="AB28" s="121"/>
      <c r="AC28" s="111"/>
      <c r="AD28" s="121"/>
      <c r="AE28" s="121"/>
      <c r="AF28" s="121"/>
    </row>
    <row r="29" spans="2:32" x14ac:dyDescent="0.25">
      <c r="B29" s="122"/>
      <c r="C29" s="123"/>
      <c r="D29" s="112"/>
      <c r="E29" s="111"/>
      <c r="F29" s="122"/>
      <c r="G29" s="123"/>
      <c r="H29" s="112"/>
      <c r="I29" s="111"/>
      <c r="J29" s="122"/>
      <c r="K29" s="122"/>
      <c r="L29" s="111"/>
      <c r="M29" s="111"/>
      <c r="N29" s="122"/>
      <c r="O29" s="122"/>
      <c r="P29" s="111"/>
      <c r="Q29" s="111"/>
      <c r="R29" s="122"/>
      <c r="S29" s="122"/>
      <c r="T29" s="111"/>
      <c r="U29" s="111"/>
      <c r="V29" s="122"/>
      <c r="W29" s="122"/>
      <c r="X29" s="111"/>
      <c r="Y29" s="111"/>
      <c r="Z29" s="122"/>
      <c r="AA29" s="122"/>
      <c r="AB29" s="111"/>
      <c r="AC29" s="111"/>
      <c r="AD29" s="122"/>
      <c r="AE29" s="122"/>
      <c r="AF29" s="111"/>
    </row>
    <row r="30" spans="2:32" x14ac:dyDescent="0.25">
      <c r="B30" s="122"/>
      <c r="C30" s="123"/>
      <c r="D30" s="112"/>
      <c r="E30" s="111"/>
      <c r="F30" s="122"/>
      <c r="G30" s="123"/>
      <c r="H30" s="112"/>
      <c r="I30" s="111"/>
      <c r="J30" s="122"/>
      <c r="K30" s="122"/>
      <c r="L30" s="111"/>
      <c r="M30" s="111"/>
      <c r="N30" s="122"/>
      <c r="O30" s="122"/>
      <c r="P30" s="111"/>
      <c r="Q30" s="111"/>
      <c r="R30" s="122"/>
      <c r="S30" s="122"/>
      <c r="T30" s="111"/>
      <c r="U30" s="111"/>
      <c r="V30" s="122"/>
      <c r="W30" s="122"/>
      <c r="X30" s="111"/>
      <c r="Y30" s="111"/>
      <c r="Z30" s="122"/>
      <c r="AA30" s="122"/>
      <c r="AB30" s="111"/>
      <c r="AC30" s="111"/>
      <c r="AD30" s="122"/>
      <c r="AE30" s="122"/>
      <c r="AF30" s="111"/>
    </row>
    <row r="31" spans="2:32" x14ac:dyDescent="0.25">
      <c r="B31" s="122"/>
      <c r="C31" s="123"/>
      <c r="D31" s="112"/>
      <c r="E31" s="111"/>
      <c r="F31" s="122"/>
      <c r="G31" s="123"/>
      <c r="H31" s="112"/>
      <c r="I31" s="111"/>
      <c r="J31" s="122"/>
      <c r="K31" s="122"/>
      <c r="L31" s="111"/>
      <c r="M31" s="111"/>
      <c r="N31" s="122"/>
      <c r="O31" s="122"/>
      <c r="P31" s="111"/>
      <c r="Q31" s="111"/>
      <c r="R31" s="122"/>
      <c r="S31" s="122"/>
      <c r="T31" s="111"/>
      <c r="U31" s="111"/>
      <c r="V31" s="122"/>
      <c r="W31" s="122"/>
      <c r="X31" s="111"/>
      <c r="Y31" s="111"/>
      <c r="Z31" s="122"/>
      <c r="AA31" s="122"/>
      <c r="AB31" s="111"/>
      <c r="AC31" s="111"/>
      <c r="AD31" s="122"/>
      <c r="AE31" s="122"/>
      <c r="AF31" s="111"/>
    </row>
  </sheetData>
  <mergeCells count="46"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  <mergeCell ref="B19:B21"/>
    <mergeCell ref="J19:J21"/>
    <mergeCell ref="K19:K21"/>
    <mergeCell ref="O19:O21"/>
    <mergeCell ref="N19:N21"/>
    <mergeCell ref="F19:F21"/>
    <mergeCell ref="G19:G21"/>
    <mergeCell ref="C19:C21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Data'!$B$19:$B$20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Data'!$C$19:$C$20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Data'!$D$19:$D$20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C2" workbookViewId="0">
      <selection activeCell="X7" sqref="X7:Y7"/>
    </sheetView>
  </sheetViews>
  <sheetFormatPr defaultRowHeight="15" x14ac:dyDescent="0.25"/>
  <sheetData>
    <row r="4" spans="1:80" x14ac:dyDescent="0.25">
      <c r="J4" s="171" t="s">
        <v>336</v>
      </c>
      <c r="K4" s="171"/>
      <c r="L4" s="171"/>
      <c r="M4" s="171"/>
      <c r="N4" s="171"/>
      <c r="O4" s="116"/>
      <c r="P4" s="171" t="s">
        <v>337</v>
      </c>
      <c r="Q4" s="171"/>
      <c r="R4" s="171"/>
      <c r="S4" s="171"/>
      <c r="T4" s="171"/>
      <c r="V4" s="171" t="s">
        <v>338</v>
      </c>
      <c r="W4" s="171"/>
      <c r="X4" s="171"/>
      <c r="Y4" s="171"/>
      <c r="Z4" s="171"/>
      <c r="AB4" s="171" t="s">
        <v>339</v>
      </c>
      <c r="AC4" s="171"/>
      <c r="AD4" s="171"/>
      <c r="AE4" s="171"/>
      <c r="AF4" s="171"/>
      <c r="AH4" s="171" t="s">
        <v>340</v>
      </c>
      <c r="AI4" s="171"/>
      <c r="AJ4" s="171"/>
      <c r="AK4" s="171"/>
      <c r="AL4" s="171"/>
      <c r="AN4" s="171" t="s">
        <v>341</v>
      </c>
      <c r="AO4" s="171"/>
      <c r="AP4" s="171"/>
      <c r="AQ4" s="171"/>
      <c r="AR4" s="171"/>
      <c r="AT4" s="171" t="s">
        <v>342</v>
      </c>
      <c r="AU4" s="171"/>
      <c r="AV4" s="171"/>
      <c r="AW4" s="171"/>
      <c r="AX4" s="171"/>
      <c r="AZ4" s="171" t="s">
        <v>343</v>
      </c>
      <c r="BA4" s="171"/>
      <c r="BB4" s="171"/>
      <c r="BC4" s="171"/>
      <c r="BD4" s="171"/>
      <c r="BF4" s="171" t="s">
        <v>344</v>
      </c>
      <c r="BG4" s="171"/>
      <c r="BH4" s="171"/>
      <c r="BI4" s="171"/>
      <c r="BJ4" s="171"/>
      <c r="BL4" s="171" t="s">
        <v>345</v>
      </c>
      <c r="BM4" s="171"/>
      <c r="BN4" s="171"/>
      <c r="BO4" s="171"/>
      <c r="BP4" s="171"/>
      <c r="BR4" s="171" t="s">
        <v>346</v>
      </c>
      <c r="BS4" s="171"/>
      <c r="BT4" s="171"/>
      <c r="BU4" s="171"/>
      <c r="BV4" s="171"/>
      <c r="BX4" s="171" t="s">
        <v>347</v>
      </c>
      <c r="BY4" s="171"/>
      <c r="BZ4" s="171"/>
      <c r="CA4" s="171"/>
      <c r="CB4" s="171"/>
    </row>
    <row r="5" spans="1:80" x14ac:dyDescent="0.25">
      <c r="A5" t="s">
        <v>326</v>
      </c>
      <c r="B5" t="s">
        <v>328</v>
      </c>
      <c r="C5" s="172" t="s">
        <v>329</v>
      </c>
      <c r="D5" s="172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7">
        <v>1</v>
      </c>
      <c r="B6" s="117">
        <v>1</v>
      </c>
      <c r="C6" s="118">
        <v>1</v>
      </c>
      <c r="D6" s="118"/>
      <c r="E6" s="117">
        <v>1</v>
      </c>
      <c r="G6" s="127" t="s">
        <v>335</v>
      </c>
      <c r="J6" s="134" t="s">
        <v>222</v>
      </c>
      <c r="K6" s="134" t="s">
        <v>223</v>
      </c>
      <c r="L6" s="134" t="s">
        <v>224</v>
      </c>
      <c r="M6" s="134" t="s">
        <v>225</v>
      </c>
      <c r="N6" s="134" t="s">
        <v>226</v>
      </c>
      <c r="O6" s="134"/>
      <c r="P6" s="134" t="s">
        <v>222</v>
      </c>
      <c r="Q6" s="134" t="s">
        <v>223</v>
      </c>
      <c r="R6" s="134" t="s">
        <v>224</v>
      </c>
      <c r="S6" s="134" t="s">
        <v>225</v>
      </c>
      <c r="T6" s="134" t="s">
        <v>226</v>
      </c>
      <c r="V6" s="134" t="s">
        <v>222</v>
      </c>
      <c r="W6" s="134" t="s">
        <v>223</v>
      </c>
      <c r="X6" s="134" t="s">
        <v>224</v>
      </c>
      <c r="Y6" s="134" t="s">
        <v>225</v>
      </c>
      <c r="Z6" s="134" t="s">
        <v>226</v>
      </c>
      <c r="AB6" s="134" t="s">
        <v>222</v>
      </c>
      <c r="AC6" s="134" t="s">
        <v>223</v>
      </c>
      <c r="AD6" s="134" t="s">
        <v>224</v>
      </c>
      <c r="AE6" s="134" t="s">
        <v>225</v>
      </c>
      <c r="AF6" s="134" t="s">
        <v>226</v>
      </c>
      <c r="AH6" s="134" t="s">
        <v>222</v>
      </c>
      <c r="AI6" s="134" t="s">
        <v>223</v>
      </c>
      <c r="AJ6" s="134" t="s">
        <v>224</v>
      </c>
      <c r="AK6" s="134" t="s">
        <v>225</v>
      </c>
      <c r="AL6" s="134" t="s">
        <v>226</v>
      </c>
      <c r="AN6" s="134" t="s">
        <v>222</v>
      </c>
      <c r="AO6" s="134" t="s">
        <v>223</v>
      </c>
      <c r="AP6" s="134" t="s">
        <v>224</v>
      </c>
      <c r="AQ6" s="134" t="s">
        <v>225</v>
      </c>
      <c r="AR6" s="134" t="s">
        <v>226</v>
      </c>
      <c r="AT6" s="134" t="s">
        <v>222</v>
      </c>
      <c r="AU6" s="134" t="s">
        <v>223</v>
      </c>
      <c r="AV6" s="134" t="s">
        <v>224</v>
      </c>
      <c r="AW6" s="134" t="s">
        <v>225</v>
      </c>
      <c r="AX6" s="134" t="s">
        <v>226</v>
      </c>
      <c r="AZ6" s="134" t="s">
        <v>222</v>
      </c>
      <c r="BA6" s="134" t="s">
        <v>223</v>
      </c>
      <c r="BB6" s="134" t="s">
        <v>224</v>
      </c>
      <c r="BC6" s="134" t="s">
        <v>225</v>
      </c>
      <c r="BD6" s="134" t="s">
        <v>226</v>
      </c>
      <c r="BF6" s="134" t="s">
        <v>222</v>
      </c>
      <c r="BG6" s="134" t="s">
        <v>223</v>
      </c>
      <c r="BH6" s="134" t="s">
        <v>224</v>
      </c>
      <c r="BI6" s="134" t="s">
        <v>225</v>
      </c>
      <c r="BJ6" s="134" t="s">
        <v>226</v>
      </c>
      <c r="BL6" s="134" t="s">
        <v>222</v>
      </c>
      <c r="BM6" s="134" t="s">
        <v>223</v>
      </c>
      <c r="BN6" s="134" t="s">
        <v>224</v>
      </c>
      <c r="BO6" s="134" t="s">
        <v>225</v>
      </c>
      <c r="BP6" s="134" t="s">
        <v>226</v>
      </c>
      <c r="BR6" s="134" t="s">
        <v>222</v>
      </c>
      <c r="BS6" s="134" t="s">
        <v>223</v>
      </c>
      <c r="BT6" s="134" t="s">
        <v>224</v>
      </c>
      <c r="BU6" s="134" t="s">
        <v>225</v>
      </c>
      <c r="BV6" s="134" t="s">
        <v>226</v>
      </c>
      <c r="BX6" s="134" t="s">
        <v>222</v>
      </c>
      <c r="BY6" s="134" t="s">
        <v>223</v>
      </c>
      <c r="BZ6" s="134" t="s">
        <v>224</v>
      </c>
      <c r="CA6" s="134" t="s">
        <v>225</v>
      </c>
      <c r="CB6" s="134" t="s">
        <v>226</v>
      </c>
    </row>
    <row r="7" spans="1:80" ht="30" x14ac:dyDescent="0.25">
      <c r="A7" s="117">
        <v>2</v>
      </c>
      <c r="B7" s="117">
        <v>2</v>
      </c>
      <c r="C7" s="118">
        <v>2</v>
      </c>
      <c r="D7" s="118"/>
      <c r="E7" s="117">
        <v>-1</v>
      </c>
      <c r="J7" s="138" t="s">
        <v>409</v>
      </c>
      <c r="K7" s="138" t="s">
        <v>410</v>
      </c>
      <c r="L7" s="138"/>
      <c r="M7" s="138"/>
      <c r="P7" s="138" t="s">
        <v>409</v>
      </c>
      <c r="Q7" s="138" t="s">
        <v>410</v>
      </c>
      <c r="R7" s="138"/>
      <c r="S7" s="138"/>
      <c r="V7" s="138" t="s">
        <v>409</v>
      </c>
      <c r="W7" s="138" t="s">
        <v>410</v>
      </c>
      <c r="X7" s="138"/>
      <c r="Y7" s="138"/>
      <c r="AB7" s="138"/>
      <c r="AC7" s="138"/>
      <c r="AH7" s="138"/>
      <c r="AI7" s="138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ht="45" x14ac:dyDescent="0.25">
      <c r="A8" s="117">
        <v>3</v>
      </c>
      <c r="B8" s="117">
        <v>3</v>
      </c>
      <c r="C8" s="118">
        <v>3</v>
      </c>
      <c r="D8" s="118"/>
      <c r="J8" s="138" t="s">
        <v>411</v>
      </c>
      <c r="K8" s="138" t="s">
        <v>412</v>
      </c>
      <c r="P8" s="138" t="s">
        <v>411</v>
      </c>
      <c r="Q8" s="138" t="s">
        <v>412</v>
      </c>
      <c r="R8" s="138"/>
      <c r="V8" s="138" t="s">
        <v>411</v>
      </c>
      <c r="W8" s="138" t="s">
        <v>412</v>
      </c>
      <c r="AB8" s="138"/>
      <c r="AC8" s="138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x14ac:dyDescent="0.25">
      <c r="A9" s="117">
        <v>4</v>
      </c>
      <c r="B9" s="117">
        <v>4</v>
      </c>
      <c r="C9" s="118">
        <v>4</v>
      </c>
      <c r="D9" s="118"/>
      <c r="J9" s="138"/>
      <c r="K9" s="138"/>
      <c r="P9" s="138"/>
      <c r="Q9" s="138"/>
      <c r="R9" s="138"/>
      <c r="V9" s="138"/>
      <c r="W9" s="138"/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x14ac:dyDescent="0.25">
      <c r="A10" s="117">
        <v>5</v>
      </c>
      <c r="B10" s="117">
        <v>5</v>
      </c>
      <c r="C10" s="118">
        <v>5</v>
      </c>
      <c r="D10" s="118"/>
      <c r="J10" s="138"/>
      <c r="K10" s="138"/>
      <c r="P10" s="138"/>
      <c r="Q10" s="138"/>
      <c r="V10" s="138"/>
      <c r="W10" s="138"/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x14ac:dyDescent="0.25">
      <c r="A11" s="117">
        <v>6</v>
      </c>
      <c r="B11" s="117">
        <v>6</v>
      </c>
      <c r="C11" s="118">
        <v>6</v>
      </c>
      <c r="D11" s="118"/>
      <c r="J11" s="138"/>
      <c r="K11" s="138"/>
      <c r="P11" s="138"/>
      <c r="Q11" s="138"/>
      <c r="V11" s="138"/>
      <c r="W11" s="138"/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x14ac:dyDescent="0.25">
      <c r="A12" s="117">
        <v>7</v>
      </c>
      <c r="B12" s="117">
        <v>7</v>
      </c>
      <c r="C12" s="118">
        <v>7</v>
      </c>
      <c r="D12" s="118"/>
      <c r="J12" s="138"/>
      <c r="K12" s="138"/>
      <c r="P12" s="138"/>
      <c r="Q12" s="138"/>
      <c r="R12" s="138"/>
      <c r="V12" s="138"/>
      <c r="W12" s="138"/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7">
        <v>8</v>
      </c>
      <c r="B13" s="117">
        <v>8</v>
      </c>
      <c r="C13" s="118">
        <v>8</v>
      </c>
      <c r="D13" s="118"/>
      <c r="J13" s="138"/>
      <c r="P13" s="138"/>
      <c r="Q13" s="138"/>
      <c r="R13" s="138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7">
        <v>9</v>
      </c>
      <c r="B14" s="117">
        <v>9</v>
      </c>
      <c r="C14" s="118">
        <v>9</v>
      </c>
      <c r="D14" s="118"/>
      <c r="P14" s="138"/>
      <c r="Q14" s="138"/>
      <c r="R14" s="138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7">
        <v>10</v>
      </c>
      <c r="B15" s="117">
        <v>10</v>
      </c>
      <c r="C15" s="118">
        <v>10</v>
      </c>
      <c r="D15" s="118"/>
      <c r="Q15" s="138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8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0" t="s">
        <v>336</v>
      </c>
      <c r="C18" s="140" t="s">
        <v>337</v>
      </c>
      <c r="D18" s="140" t="s">
        <v>338</v>
      </c>
      <c r="E18" s="140" t="s">
        <v>339</v>
      </c>
      <c r="F18" s="140" t="s">
        <v>340</v>
      </c>
      <c r="J18" s="140" t="s">
        <v>0</v>
      </c>
      <c r="K18" s="140" t="s">
        <v>1</v>
      </c>
      <c r="L18" s="140" t="s">
        <v>2</v>
      </c>
      <c r="M18" s="140" t="s">
        <v>3</v>
      </c>
      <c r="N18" s="140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39" t="s">
        <v>335</v>
      </c>
      <c r="C19" s="139" t="s">
        <v>335</v>
      </c>
      <c r="D19" s="139" t="s">
        <v>335</v>
      </c>
      <c r="E19" s="139" t="s">
        <v>335</v>
      </c>
      <c r="F19" s="139" t="s">
        <v>335</v>
      </c>
    </row>
    <row r="20" spans="2:80" ht="60" x14ac:dyDescent="0.25">
      <c r="B20" s="138" t="s">
        <v>407</v>
      </c>
      <c r="C20" s="138" t="s">
        <v>408</v>
      </c>
      <c r="D20" s="138" t="s">
        <v>349</v>
      </c>
      <c r="E20" s="138"/>
      <c r="F20" s="138"/>
      <c r="J20" s="138" t="s">
        <v>350</v>
      </c>
      <c r="K20" s="138" t="s">
        <v>357</v>
      </c>
      <c r="L20" s="138" t="s">
        <v>360</v>
      </c>
      <c r="P20" s="138" t="s">
        <v>361</v>
      </c>
      <c r="Q20" s="138" t="s">
        <v>364</v>
      </c>
      <c r="R20" s="138" t="s">
        <v>348</v>
      </c>
      <c r="V20" t="s">
        <v>371</v>
      </c>
      <c r="AB20" s="138" t="s">
        <v>374</v>
      </c>
      <c r="AC20" s="138" t="s">
        <v>375</v>
      </c>
      <c r="AH20" s="138" t="s">
        <v>376</v>
      </c>
      <c r="AI20" s="138" t="s">
        <v>377</v>
      </c>
    </row>
    <row r="21" spans="2:80" ht="45" x14ac:dyDescent="0.25">
      <c r="J21" s="138" t="s">
        <v>351</v>
      </c>
      <c r="K21" s="138" t="s">
        <v>358</v>
      </c>
      <c r="P21" s="138" t="s">
        <v>362</v>
      </c>
      <c r="Q21" s="138" t="s">
        <v>365</v>
      </c>
      <c r="R21" s="138" t="s">
        <v>369</v>
      </c>
      <c r="V21" t="s">
        <v>372</v>
      </c>
      <c r="AB21" s="138"/>
    </row>
    <row r="22" spans="2:80" ht="60" x14ac:dyDescent="0.25">
      <c r="J22" s="138" t="s">
        <v>352</v>
      </c>
      <c r="K22" s="137" t="s">
        <v>359</v>
      </c>
      <c r="P22" s="138" t="s">
        <v>363</v>
      </c>
      <c r="Q22" s="138" t="s">
        <v>366</v>
      </c>
      <c r="R22" s="138" t="s">
        <v>370</v>
      </c>
      <c r="V22" t="s">
        <v>373</v>
      </c>
    </row>
    <row r="23" spans="2:80" ht="45" x14ac:dyDescent="0.25">
      <c r="J23" s="138" t="s">
        <v>353</v>
      </c>
      <c r="Q23" s="138" t="s">
        <v>367</v>
      </c>
    </row>
    <row r="24" spans="2:80" ht="45" x14ac:dyDescent="0.25">
      <c r="J24" s="138" t="s">
        <v>354</v>
      </c>
      <c r="Q24" s="138" t="s">
        <v>368</v>
      </c>
    </row>
    <row r="25" spans="2:80" x14ac:dyDescent="0.25">
      <c r="J25" s="138" t="s">
        <v>355</v>
      </c>
    </row>
    <row r="26" spans="2:80" ht="60" x14ac:dyDescent="0.25">
      <c r="J26" s="138" t="s">
        <v>356</v>
      </c>
    </row>
  </sheetData>
  <mergeCells count="13">
    <mergeCell ref="C5:D5"/>
    <mergeCell ref="J4:N4"/>
    <mergeCell ref="P4:T4"/>
    <mergeCell ref="V4:Z4"/>
    <mergeCell ref="AB4:AF4"/>
    <mergeCell ref="BR4:BV4"/>
    <mergeCell ref="BX4:CB4"/>
    <mergeCell ref="AH4:AL4"/>
    <mergeCell ref="AN4:AR4"/>
    <mergeCell ref="AT4:AX4"/>
    <mergeCell ref="AZ4:BD4"/>
    <mergeCell ref="BF4:BJ4"/>
    <mergeCell ref="BL4:BP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tabSelected="1" topLeftCell="H1" workbookViewId="0">
      <selection activeCell="AH5" sqref="AH5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6"/>
      <c r="L3" s="173" t="s">
        <v>269</v>
      </c>
      <c r="M3" s="174"/>
      <c r="N3" s="174"/>
      <c r="O3" s="174"/>
      <c r="P3" s="174"/>
      <c r="Q3" s="174"/>
      <c r="R3" s="175"/>
      <c r="T3" s="176"/>
      <c r="U3" s="173" t="s">
        <v>270</v>
      </c>
      <c r="V3" s="174"/>
      <c r="W3" s="174"/>
      <c r="X3" s="174"/>
      <c r="Y3" s="174"/>
      <c r="Z3" s="174"/>
      <c r="AA3" s="175"/>
      <c r="AC3" s="176"/>
      <c r="AD3" s="173" t="s">
        <v>271</v>
      </c>
      <c r="AE3" s="174"/>
      <c r="AF3" s="174"/>
      <c r="AG3" s="174"/>
      <c r="AH3" s="174"/>
      <c r="AI3" s="174"/>
      <c r="AJ3" s="175"/>
      <c r="AL3" s="176"/>
      <c r="AM3" s="173" t="s">
        <v>272</v>
      </c>
      <c r="AN3" s="174"/>
      <c r="AO3" s="174"/>
      <c r="AP3" s="174"/>
      <c r="AQ3" s="174"/>
      <c r="AR3" s="174"/>
      <c r="AS3" s="175"/>
      <c r="AU3" s="176"/>
      <c r="AV3" s="173" t="s">
        <v>273</v>
      </c>
      <c r="AW3" s="174"/>
      <c r="AX3" s="174"/>
      <c r="AY3" s="174"/>
      <c r="AZ3" s="174"/>
      <c r="BA3" s="174"/>
      <c r="BB3" s="175"/>
      <c r="BD3" s="176"/>
      <c r="BE3" s="173" t="s">
        <v>274</v>
      </c>
      <c r="BF3" s="174"/>
      <c r="BG3" s="174"/>
      <c r="BH3" s="174"/>
      <c r="BI3" s="174"/>
      <c r="BJ3" s="174"/>
      <c r="BK3" s="175"/>
      <c r="BM3" s="176"/>
      <c r="BN3" s="173" t="s">
        <v>275</v>
      </c>
      <c r="BO3" s="174"/>
      <c r="BP3" s="174"/>
      <c r="BQ3" s="174"/>
      <c r="BR3" s="174"/>
      <c r="BS3" s="174"/>
      <c r="BT3" s="175"/>
      <c r="BV3" s="176"/>
      <c r="BW3" s="173" t="s">
        <v>276</v>
      </c>
      <c r="BX3" s="174"/>
      <c r="BY3" s="174"/>
      <c r="BZ3" s="174"/>
      <c r="CA3" s="174"/>
      <c r="CB3" s="174"/>
      <c r="CC3" s="175"/>
      <c r="CE3" s="176"/>
      <c r="CF3" s="173" t="s">
        <v>277</v>
      </c>
      <c r="CG3" s="174"/>
      <c r="CH3" s="174"/>
      <c r="CI3" s="174"/>
      <c r="CJ3" s="174"/>
      <c r="CK3" s="174"/>
      <c r="CL3" s="175"/>
      <c r="CN3" s="176"/>
      <c r="CO3" s="173" t="s">
        <v>278</v>
      </c>
      <c r="CP3" s="174"/>
      <c r="CQ3" s="174"/>
      <c r="CR3" s="174"/>
      <c r="CS3" s="174"/>
      <c r="CT3" s="174"/>
      <c r="CU3" s="175"/>
    </row>
    <row r="4" spans="1:99" ht="16.5" thickBot="1" x14ac:dyDescent="0.3">
      <c r="K4" s="177"/>
      <c r="L4" s="6" t="s">
        <v>262</v>
      </c>
      <c r="M4" s="14" t="s">
        <v>263</v>
      </c>
      <c r="N4" s="14" t="s">
        <v>264</v>
      </c>
      <c r="O4" s="14" t="s">
        <v>265</v>
      </c>
      <c r="P4" s="14" t="s">
        <v>266</v>
      </c>
      <c r="Q4" s="14" t="s">
        <v>267</v>
      </c>
      <c r="R4" s="9" t="s">
        <v>268</v>
      </c>
      <c r="T4" s="177"/>
      <c r="U4" s="6" t="s">
        <v>262</v>
      </c>
      <c r="V4" s="14" t="s">
        <v>263</v>
      </c>
      <c r="W4" s="14" t="s">
        <v>264</v>
      </c>
      <c r="X4" s="14" t="s">
        <v>265</v>
      </c>
      <c r="Y4" s="14" t="s">
        <v>266</v>
      </c>
      <c r="Z4" s="14" t="s">
        <v>267</v>
      </c>
      <c r="AA4" s="9" t="s">
        <v>268</v>
      </c>
      <c r="AC4" s="177"/>
      <c r="AD4" s="6" t="s">
        <v>262</v>
      </c>
      <c r="AE4" s="14" t="s">
        <v>263</v>
      </c>
      <c r="AF4" s="14" t="s">
        <v>264</v>
      </c>
      <c r="AG4" s="14" t="s">
        <v>265</v>
      </c>
      <c r="AH4" s="14" t="s">
        <v>266</v>
      </c>
      <c r="AI4" s="14" t="s">
        <v>267</v>
      </c>
      <c r="AJ4" s="9" t="s">
        <v>268</v>
      </c>
      <c r="AL4" s="177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7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7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7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7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7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7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31.5" x14ac:dyDescent="0.25">
      <c r="K5" s="141" t="s">
        <v>411</v>
      </c>
      <c r="L5" s="3"/>
      <c r="M5" s="3"/>
      <c r="N5" s="3"/>
      <c r="O5" s="3"/>
      <c r="P5" s="3"/>
      <c r="Q5" s="3">
        <v>1</v>
      </c>
      <c r="R5" s="4">
        <v>3</v>
      </c>
      <c r="T5" s="141" t="s">
        <v>411</v>
      </c>
      <c r="U5" s="12"/>
      <c r="V5" s="11"/>
      <c r="W5" s="11"/>
      <c r="X5" s="11"/>
      <c r="Y5" s="11">
        <v>2</v>
      </c>
      <c r="Z5" s="11">
        <v>2</v>
      </c>
      <c r="AA5" s="13"/>
      <c r="AC5" s="141" t="s">
        <v>411</v>
      </c>
      <c r="AD5" s="12"/>
      <c r="AE5" s="11"/>
      <c r="AF5" s="11"/>
      <c r="AG5" s="11"/>
      <c r="AH5" s="11">
        <v>1</v>
      </c>
      <c r="AI5" s="11">
        <v>3</v>
      </c>
      <c r="AJ5" s="13"/>
      <c r="AL5" s="141" t="s">
        <v>222</v>
      </c>
      <c r="AM5" s="12"/>
      <c r="AN5" s="11"/>
      <c r="AO5" s="11"/>
      <c r="AP5" s="11"/>
      <c r="AQ5" s="11"/>
      <c r="AR5" s="11"/>
      <c r="AS5" s="13"/>
      <c r="AU5" s="141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31.5" x14ac:dyDescent="0.25">
      <c r="K6" s="142" t="s">
        <v>412</v>
      </c>
      <c r="L6" s="3"/>
      <c r="M6" s="3"/>
      <c r="N6" s="3"/>
      <c r="O6" s="3"/>
      <c r="P6" s="3">
        <v>1</v>
      </c>
      <c r="Q6" s="3">
        <v>3</v>
      </c>
      <c r="R6" s="4"/>
      <c r="T6" s="142" t="s">
        <v>412</v>
      </c>
      <c r="U6" s="2"/>
      <c r="V6" s="3"/>
      <c r="W6" s="3"/>
      <c r="X6" s="3"/>
      <c r="Y6" s="3">
        <v>2</v>
      </c>
      <c r="Z6" s="3">
        <v>2</v>
      </c>
      <c r="AA6" s="4"/>
      <c r="AC6" s="142" t="s">
        <v>412</v>
      </c>
      <c r="AD6" s="2"/>
      <c r="AE6" s="3"/>
      <c r="AF6" s="3"/>
      <c r="AG6" s="3"/>
      <c r="AH6" s="3">
        <v>1</v>
      </c>
      <c r="AI6" s="3">
        <v>3</v>
      </c>
      <c r="AJ6" s="4"/>
      <c r="AL6" s="142" t="s">
        <v>223</v>
      </c>
      <c r="AM6" s="2"/>
      <c r="AN6" s="3"/>
      <c r="AO6" s="3"/>
      <c r="AP6" s="3"/>
      <c r="AQ6" s="3"/>
      <c r="AR6" s="3"/>
      <c r="AS6" s="4"/>
      <c r="AU6" s="142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8"/>
      <c r="B7" s="178"/>
      <c r="C7" s="178"/>
      <c r="D7" s="178"/>
      <c r="E7" s="178"/>
      <c r="F7" s="178"/>
      <c r="G7" s="178"/>
      <c r="H7" s="178"/>
      <c r="I7" s="178"/>
      <c r="K7" s="142" t="s">
        <v>224</v>
      </c>
      <c r="L7" s="3"/>
      <c r="M7" s="3"/>
      <c r="N7" s="3"/>
      <c r="O7" s="3"/>
      <c r="P7" s="3"/>
      <c r="Q7" s="3"/>
      <c r="R7" s="4"/>
      <c r="T7" s="142" t="s">
        <v>224</v>
      </c>
      <c r="U7" s="2"/>
      <c r="V7" s="3"/>
      <c r="W7" s="3"/>
      <c r="X7" s="3"/>
      <c r="Y7" s="3"/>
      <c r="Z7" s="3"/>
      <c r="AA7" s="4"/>
      <c r="AC7" s="18" t="s">
        <v>224</v>
      </c>
      <c r="AD7" s="2"/>
      <c r="AE7" s="3"/>
      <c r="AF7" s="3"/>
      <c r="AG7" s="3"/>
      <c r="AH7" s="3"/>
      <c r="AI7" s="3"/>
      <c r="AJ7" s="4"/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8"/>
      <c r="B8" s="178"/>
      <c r="C8" s="178"/>
      <c r="D8" s="178"/>
      <c r="E8" s="178"/>
      <c r="F8" s="178"/>
      <c r="G8" s="178"/>
      <c r="H8" s="178"/>
      <c r="I8" s="178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8"/>
      <c r="B9" s="178"/>
      <c r="C9" s="178"/>
      <c r="D9" s="178"/>
      <c r="E9" s="178"/>
      <c r="F9" s="178"/>
      <c r="G9" s="178"/>
      <c r="H9" s="178"/>
      <c r="I9" s="178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8"/>
      <c r="B12" s="178"/>
      <c r="C12" s="178"/>
      <c r="D12" s="178"/>
      <c r="E12" s="178"/>
      <c r="F12" s="178"/>
      <c r="G12" s="178"/>
      <c r="H12" s="178"/>
      <c r="I12" s="178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8"/>
      <c r="B13" s="178"/>
      <c r="C13" s="178"/>
      <c r="D13" s="178"/>
      <c r="E13" s="178"/>
      <c r="F13" s="178"/>
      <c r="G13" s="178"/>
      <c r="H13" s="178"/>
      <c r="I13" s="178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8"/>
      <c r="B14" s="178"/>
      <c r="C14" s="178"/>
      <c r="D14" s="178"/>
      <c r="E14" s="178"/>
      <c r="F14" s="178"/>
      <c r="G14" s="178"/>
      <c r="H14" s="178"/>
      <c r="I14" s="178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8"/>
      <c r="B15" s="178"/>
      <c r="C15" s="178"/>
      <c r="D15" s="178"/>
      <c r="E15" s="178"/>
      <c r="F15" s="178"/>
      <c r="G15" s="178"/>
      <c r="H15" s="178"/>
      <c r="I15" s="178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8"/>
      <c r="B16" s="178"/>
      <c r="C16" s="178"/>
      <c r="D16" s="178"/>
      <c r="E16" s="178"/>
      <c r="F16" s="178"/>
      <c r="G16" s="178"/>
      <c r="H16" s="178"/>
      <c r="I16" s="178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8"/>
      <c r="B17" s="178"/>
      <c r="C17" s="178"/>
      <c r="D17" s="178"/>
      <c r="E17" s="178"/>
      <c r="F17" s="178"/>
      <c r="G17" s="178"/>
      <c r="H17" s="178"/>
      <c r="I17" s="178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8"/>
      <c r="B18" s="178"/>
      <c r="C18" s="178"/>
      <c r="D18" s="178"/>
      <c r="E18" s="178"/>
      <c r="F18" s="178"/>
      <c r="G18" s="178"/>
      <c r="H18" s="178"/>
      <c r="I18" s="178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8"/>
      <c r="B19" s="178"/>
      <c r="C19" s="178"/>
      <c r="D19" s="178"/>
      <c r="E19" s="178"/>
      <c r="F19" s="178"/>
      <c r="G19" s="178"/>
      <c r="H19" s="178"/>
      <c r="I19" s="178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8"/>
      <c r="B20" s="178"/>
      <c r="C20" s="178"/>
      <c r="D20" s="178"/>
      <c r="E20" s="178"/>
      <c r="F20" s="178"/>
      <c r="G20" s="178"/>
      <c r="H20" s="178"/>
      <c r="I20" s="178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8"/>
      <c r="B21" s="178"/>
      <c r="C21" s="178"/>
      <c r="D21" s="178"/>
      <c r="E21" s="178"/>
      <c r="F21" s="178"/>
      <c r="G21" s="178"/>
      <c r="H21" s="178"/>
      <c r="I21" s="178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8"/>
      <c r="B22" s="178"/>
      <c r="C22" s="178"/>
      <c r="D22" s="178"/>
      <c r="E22" s="178"/>
      <c r="F22" s="178"/>
      <c r="G22" s="178"/>
      <c r="H22" s="178"/>
      <c r="I22" s="178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6"/>
      <c r="L46" s="173" t="s">
        <v>287</v>
      </c>
      <c r="M46" s="174"/>
      <c r="N46" s="174"/>
      <c r="O46" s="174"/>
      <c r="P46" s="174"/>
      <c r="Q46" s="174"/>
      <c r="R46" s="175"/>
      <c r="T46" s="176"/>
      <c r="U46" s="173" t="s">
        <v>288</v>
      </c>
      <c r="V46" s="174"/>
      <c r="W46" s="174"/>
      <c r="X46" s="174"/>
      <c r="Y46" s="174"/>
      <c r="Z46" s="174"/>
      <c r="AA46" s="175"/>
      <c r="AC46" s="176"/>
      <c r="AD46" s="173" t="s">
        <v>286</v>
      </c>
      <c r="AE46" s="174"/>
      <c r="AF46" s="174"/>
      <c r="AG46" s="174"/>
      <c r="AH46" s="174"/>
      <c r="AI46" s="174"/>
      <c r="AJ46" s="175"/>
      <c r="AL46" s="176"/>
      <c r="AM46" s="173" t="s">
        <v>285</v>
      </c>
      <c r="AN46" s="174"/>
      <c r="AO46" s="174"/>
      <c r="AP46" s="174"/>
      <c r="AQ46" s="174"/>
      <c r="AR46" s="174"/>
      <c r="AS46" s="175"/>
      <c r="AU46" s="176"/>
      <c r="AV46" s="173" t="s">
        <v>284</v>
      </c>
      <c r="AW46" s="174"/>
      <c r="AX46" s="174"/>
      <c r="AY46" s="174"/>
      <c r="AZ46" s="174"/>
      <c r="BA46" s="174"/>
      <c r="BB46" s="175"/>
      <c r="BD46" s="176"/>
      <c r="BE46" s="173" t="s">
        <v>283</v>
      </c>
      <c r="BF46" s="174"/>
      <c r="BG46" s="174"/>
      <c r="BH46" s="174"/>
      <c r="BI46" s="174"/>
      <c r="BJ46" s="174"/>
      <c r="BK46" s="175"/>
      <c r="BM46" s="176"/>
      <c r="BN46" s="173" t="s">
        <v>282</v>
      </c>
      <c r="BO46" s="174"/>
      <c r="BP46" s="174"/>
      <c r="BQ46" s="174"/>
      <c r="BR46" s="174"/>
      <c r="BS46" s="174"/>
      <c r="BT46" s="175"/>
      <c r="BV46" s="176"/>
      <c r="BW46" s="173" t="s">
        <v>281</v>
      </c>
      <c r="BX46" s="174"/>
      <c r="BY46" s="174"/>
      <c r="BZ46" s="174"/>
      <c r="CA46" s="174"/>
      <c r="CB46" s="174"/>
      <c r="CC46" s="175"/>
      <c r="CE46" s="176"/>
      <c r="CF46" s="173" t="s">
        <v>280</v>
      </c>
      <c r="CG46" s="174"/>
      <c r="CH46" s="174"/>
      <c r="CI46" s="174"/>
      <c r="CJ46" s="174"/>
      <c r="CK46" s="174"/>
      <c r="CL46" s="175"/>
      <c r="CN46" s="176"/>
      <c r="CO46" s="173" t="s">
        <v>279</v>
      </c>
      <c r="CP46" s="174"/>
      <c r="CQ46" s="174"/>
      <c r="CR46" s="174"/>
      <c r="CS46" s="174"/>
      <c r="CT46" s="174"/>
      <c r="CU46" s="175"/>
    </row>
    <row r="47" spans="11:99" ht="16.5" thickBot="1" x14ac:dyDescent="0.3">
      <c r="K47" s="177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7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7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7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7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7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7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7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7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7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  <mergeCell ref="BV46:BV47"/>
    <mergeCell ref="BD3:BD4"/>
    <mergeCell ref="BE3:BK3"/>
    <mergeCell ref="BM3:BM4"/>
    <mergeCell ref="BN3:BT3"/>
    <mergeCell ref="BV3:BV4"/>
    <mergeCell ref="BW46:CC46"/>
    <mergeCell ref="CE46:CE47"/>
    <mergeCell ref="CF46:CL46"/>
    <mergeCell ref="CN46:CN47"/>
    <mergeCell ref="CO46:CU46"/>
    <mergeCell ref="BW3:CC3"/>
    <mergeCell ref="CE3:CE4"/>
    <mergeCell ref="CF3:CL3"/>
    <mergeCell ref="CN3:CN4"/>
    <mergeCell ref="CO3:CU3"/>
    <mergeCell ref="AD3:AJ3"/>
    <mergeCell ref="AL3:AL4"/>
    <mergeCell ref="AM3:AS3"/>
    <mergeCell ref="AU3:AU4"/>
    <mergeCell ref="AV3:BB3"/>
    <mergeCell ref="L3:R3"/>
    <mergeCell ref="K3:K4"/>
    <mergeCell ref="T3:T4"/>
    <mergeCell ref="U3:AA3"/>
    <mergeCell ref="AC3:AC4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6"/>
      <c r="C2" s="173" t="s">
        <v>289</v>
      </c>
      <c r="D2" s="174"/>
      <c r="E2" s="174"/>
      <c r="F2" s="174"/>
      <c r="G2" s="174"/>
      <c r="H2" s="174"/>
      <c r="I2" s="175"/>
      <c r="K2" s="176"/>
      <c r="L2" s="173" t="s">
        <v>290</v>
      </c>
      <c r="M2" s="174"/>
      <c r="N2" s="174"/>
      <c r="O2" s="174"/>
      <c r="P2" s="174"/>
      <c r="Q2" s="174"/>
      <c r="R2" s="175"/>
      <c r="T2" s="176"/>
      <c r="U2" s="173" t="s">
        <v>291</v>
      </c>
      <c r="V2" s="174"/>
      <c r="W2" s="174"/>
      <c r="X2" s="174"/>
      <c r="Y2" s="174"/>
      <c r="Z2" s="174"/>
      <c r="AA2" s="175"/>
      <c r="AC2" s="176"/>
      <c r="AD2" s="173" t="s">
        <v>292</v>
      </c>
      <c r="AE2" s="174"/>
      <c r="AF2" s="174"/>
      <c r="AG2" s="174"/>
      <c r="AH2" s="174"/>
      <c r="AI2" s="174"/>
      <c r="AJ2" s="175"/>
      <c r="AL2" s="176"/>
      <c r="AM2" s="173" t="s">
        <v>293</v>
      </c>
      <c r="AN2" s="174"/>
      <c r="AO2" s="174"/>
      <c r="AP2" s="174"/>
      <c r="AQ2" s="174"/>
      <c r="AR2" s="174"/>
      <c r="AS2" s="175"/>
      <c r="AU2" s="176"/>
      <c r="AV2" s="173" t="s">
        <v>294</v>
      </c>
      <c r="AW2" s="174"/>
      <c r="AX2" s="174"/>
      <c r="AY2" s="174"/>
      <c r="AZ2" s="174"/>
      <c r="BA2" s="174"/>
      <c r="BB2" s="175"/>
      <c r="BD2" s="176"/>
      <c r="BE2" s="173" t="s">
        <v>295</v>
      </c>
      <c r="BF2" s="174"/>
      <c r="BG2" s="174"/>
      <c r="BH2" s="174"/>
      <c r="BI2" s="174"/>
      <c r="BJ2" s="174"/>
      <c r="BK2" s="175"/>
      <c r="BM2" s="176"/>
      <c r="BN2" s="173" t="s">
        <v>296</v>
      </c>
      <c r="BO2" s="174"/>
      <c r="BP2" s="174"/>
      <c r="BQ2" s="174"/>
      <c r="BR2" s="174"/>
      <c r="BS2" s="174"/>
      <c r="BT2" s="175"/>
      <c r="BV2" s="176"/>
      <c r="BW2" s="173" t="s">
        <v>297</v>
      </c>
      <c r="BX2" s="174"/>
      <c r="BY2" s="174"/>
      <c r="BZ2" s="174"/>
      <c r="CA2" s="174"/>
      <c r="CB2" s="174"/>
      <c r="CC2" s="175"/>
      <c r="CE2" s="176"/>
      <c r="CF2" s="173" t="s">
        <v>298</v>
      </c>
      <c r="CG2" s="174"/>
      <c r="CH2" s="174"/>
      <c r="CI2" s="174"/>
      <c r="CJ2" s="174"/>
      <c r="CK2" s="174"/>
      <c r="CL2" s="175"/>
    </row>
    <row r="3" spans="2:90" ht="16.5" thickBot="1" x14ac:dyDescent="0.3">
      <c r="B3" s="177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7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7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7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7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7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7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7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7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7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6"/>
      <c r="C45" s="173" t="s">
        <v>307</v>
      </c>
      <c r="D45" s="174"/>
      <c r="E45" s="174"/>
      <c r="F45" s="174"/>
      <c r="G45" s="174"/>
      <c r="H45" s="174"/>
      <c r="I45" s="175"/>
      <c r="K45" s="176"/>
      <c r="L45" s="173" t="s">
        <v>308</v>
      </c>
      <c r="M45" s="174"/>
      <c r="N45" s="174"/>
      <c r="O45" s="174"/>
      <c r="P45" s="174"/>
      <c r="Q45" s="174"/>
      <c r="R45" s="175"/>
      <c r="T45" s="176"/>
      <c r="U45" s="173" t="s">
        <v>306</v>
      </c>
      <c r="V45" s="174"/>
      <c r="W45" s="174"/>
      <c r="X45" s="174"/>
      <c r="Y45" s="174"/>
      <c r="Z45" s="174"/>
      <c r="AA45" s="175"/>
      <c r="AC45" s="176"/>
      <c r="AD45" s="173" t="s">
        <v>305</v>
      </c>
      <c r="AE45" s="174"/>
      <c r="AF45" s="174"/>
      <c r="AG45" s="174"/>
      <c r="AH45" s="174"/>
      <c r="AI45" s="174"/>
      <c r="AJ45" s="175"/>
      <c r="AL45" s="176"/>
      <c r="AM45" s="173" t="s">
        <v>304</v>
      </c>
      <c r="AN45" s="174"/>
      <c r="AO45" s="174"/>
      <c r="AP45" s="174"/>
      <c r="AQ45" s="174"/>
      <c r="AR45" s="174"/>
      <c r="AS45" s="175"/>
      <c r="AU45" s="176"/>
      <c r="AV45" s="173" t="s">
        <v>303</v>
      </c>
      <c r="AW45" s="174"/>
      <c r="AX45" s="174"/>
      <c r="AY45" s="174"/>
      <c r="AZ45" s="174"/>
      <c r="BA45" s="174"/>
      <c r="BB45" s="175"/>
      <c r="BD45" s="176"/>
      <c r="BE45" s="173" t="s">
        <v>302</v>
      </c>
      <c r="BF45" s="174"/>
      <c r="BG45" s="174"/>
      <c r="BH45" s="174"/>
      <c r="BI45" s="174"/>
      <c r="BJ45" s="174"/>
      <c r="BK45" s="175"/>
      <c r="BM45" s="176"/>
      <c r="BN45" s="173" t="s">
        <v>301</v>
      </c>
      <c r="BO45" s="174"/>
      <c r="BP45" s="174"/>
      <c r="BQ45" s="174"/>
      <c r="BR45" s="174"/>
      <c r="BS45" s="174"/>
      <c r="BT45" s="175"/>
      <c r="BV45" s="176"/>
      <c r="BW45" s="173" t="s">
        <v>300</v>
      </c>
      <c r="BX45" s="174"/>
      <c r="BY45" s="174"/>
      <c r="BZ45" s="174"/>
      <c r="CA45" s="174"/>
      <c r="CB45" s="174"/>
      <c r="CC45" s="175"/>
      <c r="CE45" s="176"/>
      <c r="CF45" s="173" t="s">
        <v>299</v>
      </c>
      <c r="CG45" s="174"/>
      <c r="CH45" s="174"/>
      <c r="CI45" s="174"/>
      <c r="CJ45" s="174"/>
      <c r="CK45" s="174"/>
      <c r="CL45" s="175"/>
    </row>
    <row r="46" spans="2:90" ht="16.5" thickBot="1" x14ac:dyDescent="0.3">
      <c r="B46" s="177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7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7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7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7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7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7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7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7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7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79"/>
      <c r="F2" s="173" t="s">
        <v>269</v>
      </c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85" t="s">
        <v>325</v>
      </c>
      <c r="AB2" s="186"/>
      <c r="AC2" s="187"/>
      <c r="AE2" s="179"/>
      <c r="AF2" s="173" t="s">
        <v>270</v>
      </c>
      <c r="AG2" s="174"/>
      <c r="AH2" s="174"/>
      <c r="AI2" s="174"/>
      <c r="AJ2" s="174"/>
      <c r="AK2" s="174"/>
      <c r="AL2" s="174"/>
      <c r="AM2" s="174"/>
      <c r="AN2" s="174"/>
      <c r="AO2" s="174"/>
      <c r="AP2" s="174"/>
      <c r="AQ2" s="174"/>
      <c r="AR2" s="174"/>
      <c r="AS2" s="174"/>
      <c r="AT2" s="174"/>
      <c r="AU2" s="174"/>
      <c r="AV2" s="174"/>
      <c r="AW2" s="174"/>
      <c r="AX2" s="174"/>
      <c r="AY2" s="174"/>
      <c r="AZ2" s="175"/>
      <c r="BA2" s="185" t="s">
        <v>325</v>
      </c>
      <c r="BB2" s="186"/>
      <c r="BC2" s="187"/>
      <c r="BE2" s="179"/>
      <c r="BF2" s="173" t="s">
        <v>271</v>
      </c>
      <c r="BG2" s="174"/>
      <c r="BH2" s="174"/>
      <c r="BI2" s="174"/>
      <c r="BJ2" s="174"/>
      <c r="BK2" s="174"/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5"/>
      <c r="CA2" s="185" t="s">
        <v>325</v>
      </c>
      <c r="CB2" s="186"/>
      <c r="CC2" s="187"/>
      <c r="CE2" s="179"/>
      <c r="CF2" s="173" t="s">
        <v>272</v>
      </c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5"/>
      <c r="DA2" s="185" t="s">
        <v>325</v>
      </c>
      <c r="DB2" s="186"/>
      <c r="DC2" s="187"/>
      <c r="DE2" s="179"/>
      <c r="DF2" s="173" t="s">
        <v>273</v>
      </c>
      <c r="DG2" s="174"/>
      <c r="DH2" s="174"/>
      <c r="DI2" s="174"/>
      <c r="DJ2" s="174"/>
      <c r="DK2" s="174"/>
      <c r="DL2" s="174"/>
      <c r="DM2" s="174"/>
      <c r="DN2" s="174"/>
      <c r="DO2" s="174"/>
      <c r="DP2" s="174"/>
      <c r="DQ2" s="174"/>
      <c r="DR2" s="174"/>
      <c r="DS2" s="174"/>
      <c r="DT2" s="174"/>
      <c r="DU2" s="174"/>
      <c r="DV2" s="174"/>
      <c r="DW2" s="174"/>
      <c r="DX2" s="174"/>
      <c r="DY2" s="174"/>
      <c r="DZ2" s="175"/>
      <c r="EA2" s="185" t="s">
        <v>325</v>
      </c>
      <c r="EB2" s="186"/>
      <c r="EC2" s="187"/>
      <c r="EE2" s="179"/>
      <c r="EF2" s="173" t="s">
        <v>274</v>
      </c>
      <c r="EG2" s="174"/>
      <c r="EH2" s="174"/>
      <c r="EI2" s="174"/>
      <c r="EJ2" s="174"/>
      <c r="EK2" s="174"/>
      <c r="EL2" s="174"/>
      <c r="EM2" s="174"/>
      <c r="EN2" s="174"/>
      <c r="EO2" s="174"/>
      <c r="EP2" s="174"/>
      <c r="EQ2" s="174"/>
      <c r="ER2" s="174"/>
      <c r="ES2" s="174"/>
      <c r="ET2" s="174"/>
      <c r="EU2" s="174"/>
      <c r="EV2" s="174"/>
      <c r="EW2" s="174"/>
      <c r="EX2" s="174"/>
      <c r="EY2" s="174"/>
      <c r="EZ2" s="175"/>
      <c r="FA2" s="185" t="s">
        <v>325</v>
      </c>
      <c r="FB2" s="186"/>
      <c r="FC2" s="187"/>
      <c r="FE2" s="179"/>
      <c r="FF2" s="173" t="s">
        <v>275</v>
      </c>
      <c r="FG2" s="174"/>
      <c r="FH2" s="174"/>
      <c r="FI2" s="174"/>
      <c r="FJ2" s="174"/>
      <c r="FK2" s="174"/>
      <c r="FL2" s="174"/>
      <c r="FM2" s="174"/>
      <c r="FN2" s="174"/>
      <c r="FO2" s="174"/>
      <c r="FP2" s="174"/>
      <c r="FQ2" s="174"/>
      <c r="FR2" s="174"/>
      <c r="FS2" s="174"/>
      <c r="FT2" s="174"/>
      <c r="FU2" s="174"/>
      <c r="FV2" s="174"/>
      <c r="FW2" s="174"/>
      <c r="FX2" s="174"/>
      <c r="FY2" s="174"/>
      <c r="FZ2" s="175"/>
      <c r="GA2" s="185" t="s">
        <v>325</v>
      </c>
      <c r="GB2" s="186"/>
      <c r="GC2" s="187"/>
      <c r="GE2" s="179"/>
      <c r="GF2" s="173" t="s">
        <v>276</v>
      </c>
      <c r="GG2" s="174"/>
      <c r="GH2" s="174"/>
      <c r="GI2" s="174"/>
      <c r="GJ2" s="174"/>
      <c r="GK2" s="174"/>
      <c r="GL2" s="174"/>
      <c r="GM2" s="174"/>
      <c r="GN2" s="174"/>
      <c r="GO2" s="174"/>
      <c r="GP2" s="174"/>
      <c r="GQ2" s="174"/>
      <c r="GR2" s="174"/>
      <c r="GS2" s="174"/>
      <c r="GT2" s="174"/>
      <c r="GU2" s="174"/>
      <c r="GV2" s="174"/>
      <c r="GW2" s="174"/>
      <c r="GX2" s="174"/>
      <c r="GY2" s="174"/>
      <c r="GZ2" s="175"/>
      <c r="HA2" s="185" t="s">
        <v>325</v>
      </c>
      <c r="HB2" s="186"/>
      <c r="HC2" s="187"/>
      <c r="HE2" s="179"/>
      <c r="HF2" s="173" t="s">
        <v>277</v>
      </c>
      <c r="HG2" s="174"/>
      <c r="HH2" s="174"/>
      <c r="HI2" s="174"/>
      <c r="HJ2" s="174"/>
      <c r="HK2" s="174"/>
      <c r="HL2" s="174"/>
      <c r="HM2" s="174"/>
      <c r="HN2" s="174"/>
      <c r="HO2" s="174"/>
      <c r="HP2" s="174"/>
      <c r="HQ2" s="174"/>
      <c r="HR2" s="174"/>
      <c r="HS2" s="174"/>
      <c r="HT2" s="174"/>
      <c r="HU2" s="174"/>
      <c r="HV2" s="174"/>
      <c r="HW2" s="174"/>
      <c r="HX2" s="174"/>
      <c r="HY2" s="174"/>
      <c r="HZ2" s="175"/>
      <c r="IA2" s="185" t="s">
        <v>325</v>
      </c>
      <c r="IB2" s="186"/>
      <c r="IC2" s="187"/>
      <c r="IE2" s="179"/>
      <c r="IF2" s="173" t="s">
        <v>278</v>
      </c>
      <c r="IG2" s="174"/>
      <c r="IH2" s="174"/>
      <c r="II2" s="174"/>
      <c r="IJ2" s="174"/>
      <c r="IK2" s="174"/>
      <c r="IL2" s="174"/>
      <c r="IM2" s="174"/>
      <c r="IN2" s="174"/>
      <c r="IO2" s="174"/>
      <c r="IP2" s="174"/>
      <c r="IQ2" s="174"/>
      <c r="IR2" s="174"/>
      <c r="IS2" s="174"/>
      <c r="IT2" s="174"/>
      <c r="IU2" s="174"/>
      <c r="IV2" s="174"/>
      <c r="IW2" s="174"/>
      <c r="IX2" s="174"/>
      <c r="IY2" s="174"/>
      <c r="IZ2" s="175"/>
      <c r="JA2" s="185" t="s">
        <v>325</v>
      </c>
      <c r="JB2" s="186"/>
      <c r="JC2" s="187"/>
    </row>
    <row r="3" spans="1:263" ht="24" customHeight="1" thickBot="1" x14ac:dyDescent="0.3">
      <c r="A3" s="191" t="s">
        <v>208</v>
      </c>
      <c r="B3" s="192"/>
      <c r="E3" s="180"/>
      <c r="F3" s="182" t="s">
        <v>318</v>
      </c>
      <c r="G3" s="183"/>
      <c r="H3" s="184"/>
      <c r="I3" s="182" t="s">
        <v>319</v>
      </c>
      <c r="J3" s="183"/>
      <c r="K3" s="184"/>
      <c r="L3" s="182" t="s">
        <v>320</v>
      </c>
      <c r="M3" s="183"/>
      <c r="N3" s="184"/>
      <c r="O3" s="182" t="s">
        <v>321</v>
      </c>
      <c r="P3" s="183"/>
      <c r="Q3" s="184"/>
      <c r="R3" s="182" t="s">
        <v>322</v>
      </c>
      <c r="S3" s="183"/>
      <c r="T3" s="184"/>
      <c r="U3" s="182" t="s">
        <v>323</v>
      </c>
      <c r="V3" s="183"/>
      <c r="W3" s="184"/>
      <c r="X3" s="182" t="s">
        <v>324</v>
      </c>
      <c r="Y3" s="183"/>
      <c r="Z3" s="184"/>
      <c r="AA3" s="188"/>
      <c r="AB3" s="189"/>
      <c r="AC3" s="190"/>
      <c r="AE3" s="180"/>
      <c r="AF3" s="182" t="s">
        <v>318</v>
      </c>
      <c r="AG3" s="183"/>
      <c r="AH3" s="184"/>
      <c r="AI3" s="182" t="s">
        <v>319</v>
      </c>
      <c r="AJ3" s="183"/>
      <c r="AK3" s="184"/>
      <c r="AL3" s="182" t="s">
        <v>320</v>
      </c>
      <c r="AM3" s="183"/>
      <c r="AN3" s="184"/>
      <c r="AO3" s="182" t="s">
        <v>321</v>
      </c>
      <c r="AP3" s="183"/>
      <c r="AQ3" s="184"/>
      <c r="AR3" s="182" t="s">
        <v>322</v>
      </c>
      <c r="AS3" s="183"/>
      <c r="AT3" s="184"/>
      <c r="AU3" s="182" t="s">
        <v>323</v>
      </c>
      <c r="AV3" s="183"/>
      <c r="AW3" s="184"/>
      <c r="AX3" s="182" t="s">
        <v>324</v>
      </c>
      <c r="AY3" s="183"/>
      <c r="AZ3" s="184"/>
      <c r="BA3" s="188"/>
      <c r="BB3" s="189"/>
      <c r="BC3" s="190"/>
      <c r="BE3" s="180"/>
      <c r="BF3" s="182" t="s">
        <v>318</v>
      </c>
      <c r="BG3" s="183"/>
      <c r="BH3" s="184"/>
      <c r="BI3" s="182" t="s">
        <v>319</v>
      </c>
      <c r="BJ3" s="183"/>
      <c r="BK3" s="184"/>
      <c r="BL3" s="182" t="s">
        <v>320</v>
      </c>
      <c r="BM3" s="183"/>
      <c r="BN3" s="184"/>
      <c r="BO3" s="182" t="s">
        <v>321</v>
      </c>
      <c r="BP3" s="183"/>
      <c r="BQ3" s="184"/>
      <c r="BR3" s="182" t="s">
        <v>322</v>
      </c>
      <c r="BS3" s="183"/>
      <c r="BT3" s="184"/>
      <c r="BU3" s="182" t="s">
        <v>323</v>
      </c>
      <c r="BV3" s="183"/>
      <c r="BW3" s="184"/>
      <c r="BX3" s="182" t="s">
        <v>324</v>
      </c>
      <c r="BY3" s="183"/>
      <c r="BZ3" s="184"/>
      <c r="CA3" s="188"/>
      <c r="CB3" s="189"/>
      <c r="CC3" s="190"/>
      <c r="CE3" s="180"/>
      <c r="CF3" s="182" t="s">
        <v>318</v>
      </c>
      <c r="CG3" s="183"/>
      <c r="CH3" s="184"/>
      <c r="CI3" s="182" t="s">
        <v>319</v>
      </c>
      <c r="CJ3" s="183"/>
      <c r="CK3" s="184"/>
      <c r="CL3" s="182" t="s">
        <v>320</v>
      </c>
      <c r="CM3" s="183"/>
      <c r="CN3" s="184"/>
      <c r="CO3" s="182" t="s">
        <v>321</v>
      </c>
      <c r="CP3" s="183"/>
      <c r="CQ3" s="184"/>
      <c r="CR3" s="182" t="s">
        <v>322</v>
      </c>
      <c r="CS3" s="183"/>
      <c r="CT3" s="184"/>
      <c r="CU3" s="182" t="s">
        <v>323</v>
      </c>
      <c r="CV3" s="183"/>
      <c r="CW3" s="184"/>
      <c r="CX3" s="182" t="s">
        <v>324</v>
      </c>
      <c r="CY3" s="183"/>
      <c r="CZ3" s="184"/>
      <c r="DA3" s="188"/>
      <c r="DB3" s="189"/>
      <c r="DC3" s="190"/>
      <c r="DE3" s="180"/>
      <c r="DF3" s="182" t="s">
        <v>318</v>
      </c>
      <c r="DG3" s="183"/>
      <c r="DH3" s="184"/>
      <c r="DI3" s="182" t="s">
        <v>319</v>
      </c>
      <c r="DJ3" s="183"/>
      <c r="DK3" s="184"/>
      <c r="DL3" s="182" t="s">
        <v>320</v>
      </c>
      <c r="DM3" s="183"/>
      <c r="DN3" s="184"/>
      <c r="DO3" s="182" t="s">
        <v>321</v>
      </c>
      <c r="DP3" s="183"/>
      <c r="DQ3" s="184"/>
      <c r="DR3" s="182" t="s">
        <v>322</v>
      </c>
      <c r="DS3" s="183"/>
      <c r="DT3" s="184"/>
      <c r="DU3" s="182" t="s">
        <v>323</v>
      </c>
      <c r="DV3" s="183"/>
      <c r="DW3" s="184"/>
      <c r="DX3" s="182" t="s">
        <v>324</v>
      </c>
      <c r="DY3" s="183"/>
      <c r="DZ3" s="184"/>
      <c r="EA3" s="188"/>
      <c r="EB3" s="189"/>
      <c r="EC3" s="190"/>
      <c r="EE3" s="180"/>
      <c r="EF3" s="182" t="s">
        <v>318</v>
      </c>
      <c r="EG3" s="183"/>
      <c r="EH3" s="184"/>
      <c r="EI3" s="182" t="s">
        <v>319</v>
      </c>
      <c r="EJ3" s="183"/>
      <c r="EK3" s="184"/>
      <c r="EL3" s="182" t="s">
        <v>320</v>
      </c>
      <c r="EM3" s="183"/>
      <c r="EN3" s="184"/>
      <c r="EO3" s="182" t="s">
        <v>321</v>
      </c>
      <c r="EP3" s="183"/>
      <c r="EQ3" s="184"/>
      <c r="ER3" s="182" t="s">
        <v>322</v>
      </c>
      <c r="ES3" s="183"/>
      <c r="ET3" s="184"/>
      <c r="EU3" s="182" t="s">
        <v>323</v>
      </c>
      <c r="EV3" s="183"/>
      <c r="EW3" s="184"/>
      <c r="EX3" s="182" t="s">
        <v>324</v>
      </c>
      <c r="EY3" s="183"/>
      <c r="EZ3" s="184"/>
      <c r="FA3" s="188"/>
      <c r="FB3" s="189"/>
      <c r="FC3" s="190"/>
      <c r="FE3" s="180"/>
      <c r="FF3" s="182" t="s">
        <v>318</v>
      </c>
      <c r="FG3" s="183"/>
      <c r="FH3" s="184"/>
      <c r="FI3" s="182" t="s">
        <v>319</v>
      </c>
      <c r="FJ3" s="183"/>
      <c r="FK3" s="184"/>
      <c r="FL3" s="182" t="s">
        <v>320</v>
      </c>
      <c r="FM3" s="183"/>
      <c r="FN3" s="184"/>
      <c r="FO3" s="182" t="s">
        <v>321</v>
      </c>
      <c r="FP3" s="183"/>
      <c r="FQ3" s="184"/>
      <c r="FR3" s="182" t="s">
        <v>322</v>
      </c>
      <c r="FS3" s="183"/>
      <c r="FT3" s="184"/>
      <c r="FU3" s="182" t="s">
        <v>323</v>
      </c>
      <c r="FV3" s="183"/>
      <c r="FW3" s="184"/>
      <c r="FX3" s="182" t="s">
        <v>324</v>
      </c>
      <c r="FY3" s="183"/>
      <c r="FZ3" s="184"/>
      <c r="GA3" s="188"/>
      <c r="GB3" s="189"/>
      <c r="GC3" s="190"/>
      <c r="GE3" s="180"/>
      <c r="GF3" s="182" t="s">
        <v>318</v>
      </c>
      <c r="GG3" s="183"/>
      <c r="GH3" s="184"/>
      <c r="GI3" s="182" t="s">
        <v>319</v>
      </c>
      <c r="GJ3" s="183"/>
      <c r="GK3" s="184"/>
      <c r="GL3" s="182" t="s">
        <v>320</v>
      </c>
      <c r="GM3" s="183"/>
      <c r="GN3" s="184"/>
      <c r="GO3" s="182" t="s">
        <v>321</v>
      </c>
      <c r="GP3" s="183"/>
      <c r="GQ3" s="184"/>
      <c r="GR3" s="182" t="s">
        <v>322</v>
      </c>
      <c r="GS3" s="183"/>
      <c r="GT3" s="184"/>
      <c r="GU3" s="182" t="s">
        <v>323</v>
      </c>
      <c r="GV3" s="183"/>
      <c r="GW3" s="184"/>
      <c r="GX3" s="182" t="s">
        <v>324</v>
      </c>
      <c r="GY3" s="183"/>
      <c r="GZ3" s="184"/>
      <c r="HA3" s="188"/>
      <c r="HB3" s="189"/>
      <c r="HC3" s="190"/>
      <c r="HE3" s="180"/>
      <c r="HF3" s="182" t="s">
        <v>318</v>
      </c>
      <c r="HG3" s="183"/>
      <c r="HH3" s="184"/>
      <c r="HI3" s="182" t="s">
        <v>319</v>
      </c>
      <c r="HJ3" s="183"/>
      <c r="HK3" s="184"/>
      <c r="HL3" s="182" t="s">
        <v>320</v>
      </c>
      <c r="HM3" s="183"/>
      <c r="HN3" s="184"/>
      <c r="HO3" s="182" t="s">
        <v>321</v>
      </c>
      <c r="HP3" s="183"/>
      <c r="HQ3" s="184"/>
      <c r="HR3" s="182" t="s">
        <v>322</v>
      </c>
      <c r="HS3" s="183"/>
      <c r="HT3" s="184"/>
      <c r="HU3" s="182" t="s">
        <v>323</v>
      </c>
      <c r="HV3" s="183"/>
      <c r="HW3" s="184"/>
      <c r="HX3" s="182" t="s">
        <v>324</v>
      </c>
      <c r="HY3" s="183"/>
      <c r="HZ3" s="184"/>
      <c r="IA3" s="188"/>
      <c r="IB3" s="189"/>
      <c r="IC3" s="190"/>
      <c r="IE3" s="180"/>
      <c r="IF3" s="182" t="s">
        <v>318</v>
      </c>
      <c r="IG3" s="183"/>
      <c r="IH3" s="184"/>
      <c r="II3" s="182" t="s">
        <v>319</v>
      </c>
      <c r="IJ3" s="183"/>
      <c r="IK3" s="184"/>
      <c r="IL3" s="182" t="s">
        <v>320</v>
      </c>
      <c r="IM3" s="183"/>
      <c r="IN3" s="184"/>
      <c r="IO3" s="182" t="s">
        <v>321</v>
      </c>
      <c r="IP3" s="183"/>
      <c r="IQ3" s="184"/>
      <c r="IR3" s="182" t="s">
        <v>322</v>
      </c>
      <c r="IS3" s="183"/>
      <c r="IT3" s="184"/>
      <c r="IU3" s="182" t="s">
        <v>323</v>
      </c>
      <c r="IV3" s="183"/>
      <c r="IW3" s="184"/>
      <c r="IX3" s="182" t="s">
        <v>324</v>
      </c>
      <c r="IY3" s="183"/>
      <c r="IZ3" s="184"/>
      <c r="JA3" s="188"/>
      <c r="JB3" s="189"/>
      <c r="JC3" s="190"/>
    </row>
    <row r="4" spans="1:263" ht="19.5" customHeight="1" thickBot="1" x14ac:dyDescent="0.3">
      <c r="A4" s="193"/>
      <c r="B4" s="194"/>
      <c r="C4" s="1">
        <f>'Data of criteria'!D3</f>
        <v>4</v>
      </c>
      <c r="E4" s="181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1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1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1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1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1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1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1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1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1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0</v>
      </c>
      <c r="S5" s="11">
        <f>R5</f>
        <v>0</v>
      </c>
      <c r="T5" s="13">
        <f>R5</f>
        <v>0</v>
      </c>
      <c r="U5" s="12">
        <f>'Data of 1st to 20th criteria '!Q5</f>
        <v>1</v>
      </c>
      <c r="V5" s="11">
        <f>U5</f>
        <v>1</v>
      </c>
      <c r="W5" s="13">
        <f>U5</f>
        <v>1</v>
      </c>
      <c r="X5" s="11">
        <f>'Data of 1st to 20th criteria '!R5</f>
        <v>3</v>
      </c>
      <c r="Y5" s="11">
        <f>X5</f>
        <v>3</v>
      </c>
      <c r="Z5" s="11">
        <f>X5</f>
        <v>3</v>
      </c>
      <c r="AA5" s="102">
        <f>(F5*F$4+I5*I$4+L5*L$4+O5*O$4+R5*R$4+U5*U$4+X5*X$4)/$C$4</f>
        <v>8.5</v>
      </c>
      <c r="AB5" s="103">
        <f>(G5*G$4+J5*J$4+M5*M$4+P5*P$4+S5*S$4+V5*V$4+Y5*Y$4)/$C$4</f>
        <v>9.75</v>
      </c>
      <c r="AC5" s="104">
        <f t="shared" ref="AC5" si="0">(H5*H$4+K5*K$4+N5*N$4+Q5*Q$4+T5*T$4+W5*W$4+Z5*Z$4)/$C$4</f>
        <v>10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0</v>
      </c>
      <c r="AP5" s="11">
        <f>AO5</f>
        <v>0</v>
      </c>
      <c r="AQ5" s="13">
        <f>AO5</f>
        <v>0</v>
      </c>
      <c r="AR5" s="12">
        <f>'Data of 1st to 20th criteria '!Y5</f>
        <v>2</v>
      </c>
      <c r="AS5" s="11">
        <f>AR5</f>
        <v>2</v>
      </c>
      <c r="AT5" s="13">
        <f>AR5</f>
        <v>2</v>
      </c>
      <c r="AU5" s="12">
        <f>'Data of 1st to 20th criteria '!Z5</f>
        <v>2</v>
      </c>
      <c r="AV5" s="11">
        <f>AU5</f>
        <v>2</v>
      </c>
      <c r="AW5" s="13">
        <f>AU5</f>
        <v>2</v>
      </c>
      <c r="AX5" s="11">
        <f>'Data of 1st to 20th criteria '!AA5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6</v>
      </c>
      <c r="BB5" s="103">
        <f>(AG5*AG$4+AJ5*AJ$4+AM5*AM$4+AP5*AP$4+AS5*AS$4+AV5*AV$4+AY5*AY$4)/$C$4</f>
        <v>8</v>
      </c>
      <c r="BC5" s="104">
        <f t="shared" ref="BC5:BC44" si="1">(AH5*AH$4+AK5*AK$4+AN5*AN$4+AQ5*AQ$4+AT5*AT$4+AW5*AW$4+AZ5*AZ$4)/$C$4</f>
        <v>9.5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0</v>
      </c>
      <c r="BP5" s="11">
        <f>BO5</f>
        <v>0</v>
      </c>
      <c r="BQ5" s="13">
        <f>BO5</f>
        <v>0</v>
      </c>
      <c r="BR5" s="12">
        <f>'Data of 1st to 20th criteria '!AH5</f>
        <v>1</v>
      </c>
      <c r="BS5" s="11">
        <f>BR5</f>
        <v>1</v>
      </c>
      <c r="BT5" s="13">
        <f>BR5</f>
        <v>1</v>
      </c>
      <c r="BU5" s="12">
        <f>'Data of 1st to 20th criteria '!AI5</f>
        <v>3</v>
      </c>
      <c r="BV5" s="11">
        <f>BU5</f>
        <v>3</v>
      </c>
      <c r="BW5" s="13">
        <f>BU5</f>
        <v>3</v>
      </c>
      <c r="BX5" s="11">
        <f>'Data of 1st to 20th criteria '!AJ5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6.5</v>
      </c>
      <c r="CB5" s="103">
        <f>(BG5*BG$4+BJ5*BJ$4+BM5*BM$4+BP5*BP$4+BS5*BS$4+BV5*BV$4+BY5*BY$4)/$C$4</f>
        <v>8.5</v>
      </c>
      <c r="CC5" s="104">
        <f t="shared" ref="CC5:CC44" si="2">(BH5*BH$4+BK5*BK$4+BN5*BN$4+BQ5*BQ$4+BT5*BT$4+BW5*BW$4+BZ5*BZ$4)/$C$4</f>
        <v>9.75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0</v>
      </c>
      <c r="P6" s="99">
        <f t="shared" ref="P6:P44" si="16">O6</f>
        <v>0</v>
      </c>
      <c r="Q6" s="4">
        <f t="shared" ref="Q6:Q44" si="17">O6</f>
        <v>0</v>
      </c>
      <c r="R6" s="97">
        <f>'Data of 1st to 20th criteria '!P6</f>
        <v>1</v>
      </c>
      <c r="S6" s="99">
        <f t="shared" ref="S6:S44" si="18">R6</f>
        <v>1</v>
      </c>
      <c r="T6" s="4">
        <f t="shared" ref="T6:T44" si="19">R6</f>
        <v>1</v>
      </c>
      <c r="U6" s="97">
        <f>'Data of 1st to 20th criteria '!Q6</f>
        <v>3</v>
      </c>
      <c r="V6" s="99">
        <f t="shared" ref="V6:V44" si="20">U6</f>
        <v>3</v>
      </c>
      <c r="W6" s="4">
        <f t="shared" ref="W6:W44" si="21">U6</f>
        <v>3</v>
      </c>
      <c r="X6" s="99">
        <f>'Data of 1st to 20th criteria '!R6</f>
        <v>0</v>
      </c>
      <c r="Y6" s="99">
        <f t="shared" ref="Y6:Y44" si="22">X6</f>
        <v>0</v>
      </c>
      <c r="Z6" s="99">
        <f t="shared" ref="Z6:Z44" si="23">X6</f>
        <v>0</v>
      </c>
      <c r="AA6" s="105">
        <f>(F6*F$4+I6*I$4+L6*L$4+O6*O$4+R6*R$4+U6*U$4+X6*X$4)/$C$4</f>
        <v>6.5</v>
      </c>
      <c r="AB6" s="106">
        <f t="shared" ref="AB6:AB44" si="24">(G6*G$4+J6*J$4+M6*M$4+P6*P$4+S6*S$4+V6*V$4+Y6*Y$4)/$C$4</f>
        <v>8.5</v>
      </c>
      <c r="AC6" s="107">
        <f t="shared" ref="AC6:AC44" si="25">(H6*H$4+K6*K$4+N6*N$4+Q6*Q$4+T6*T$4+W6*W$4+Z6*Z$4)/$C$4</f>
        <v>9.75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0</v>
      </c>
      <c r="AP6" s="99">
        <f t="shared" ref="AP6:AP44" si="32">AO6</f>
        <v>0</v>
      </c>
      <c r="AQ6" s="4">
        <f t="shared" ref="AQ6:AQ44" si="33">AO6</f>
        <v>0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2</v>
      </c>
      <c r="AV6" s="99">
        <f t="shared" ref="AV6:AV44" si="36">AU6</f>
        <v>2</v>
      </c>
      <c r="AW6" s="4">
        <f t="shared" ref="AW6:AW44" si="37">AU6</f>
        <v>2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6</v>
      </c>
      <c r="BB6" s="106">
        <f t="shared" ref="BB6:BB44" si="40">(AG6*AG$4+AJ6*AJ$4+AM6*AM$4+AP6*AP$4+AS6*AS$4+AV6*AV$4+AY6*AY$4)/$C$4</f>
        <v>8</v>
      </c>
      <c r="BC6" s="107">
        <f t="shared" si="1"/>
        <v>9.5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0</v>
      </c>
      <c r="BM6" s="99">
        <f t="shared" ref="BM6:BM44" si="45">BL6</f>
        <v>0</v>
      </c>
      <c r="BN6" s="4">
        <f t="shared" ref="BN6:BN44" si="46">BL6</f>
        <v>0</v>
      </c>
      <c r="BO6" s="97">
        <f>'Data of 1st to 20th criteria '!AG6</f>
        <v>0</v>
      </c>
      <c r="BP6" s="99">
        <f t="shared" ref="BP6:BP44" si="47">BO6</f>
        <v>0</v>
      </c>
      <c r="BQ6" s="4">
        <f t="shared" ref="BQ6:BQ44" si="48">BO6</f>
        <v>0</v>
      </c>
      <c r="BR6" s="97">
        <f>'Data of 1st to 20th criteria '!AH6</f>
        <v>1</v>
      </c>
      <c r="BS6" s="99">
        <f t="shared" ref="BS6:BS44" si="49">BR6</f>
        <v>1</v>
      </c>
      <c r="BT6" s="4">
        <f t="shared" ref="BT6:BT44" si="50">BR6</f>
        <v>1</v>
      </c>
      <c r="BU6" s="97">
        <f>'Data of 1st to 20th criteria '!AI6</f>
        <v>3</v>
      </c>
      <c r="BV6" s="99">
        <f t="shared" ref="BV6:BV44" si="51">BU6</f>
        <v>3</v>
      </c>
      <c r="BW6" s="4">
        <f t="shared" ref="BW6:BW44" si="52">BU6</f>
        <v>3</v>
      </c>
      <c r="BX6" s="99">
        <f>'Data of 1st to 20th criteria '!AJ6</f>
        <v>0</v>
      </c>
      <c r="BY6" s="99">
        <f t="shared" ref="BY6:BY44" si="53">BX6</f>
        <v>0</v>
      </c>
      <c r="BZ6" s="4">
        <f t="shared" ref="BZ6:BZ44" si="54">BX6</f>
        <v>0</v>
      </c>
      <c r="CA6" s="105">
        <f>(BF6*BF$4+BI6*BI$4+BL6*BL$4+BO6*BO$4+BR6*BR$4+BU6*BU$4+BX6*BX$4)/$C$4</f>
        <v>6.5</v>
      </c>
      <c r="CB6" s="106">
        <f t="shared" ref="CB6:CB44" si="55">(BG6*BG$4+BJ6*BJ$4+BM6*BM$4+BP6*BP$4+BS6*BS$4+BV6*BV$4+BY6*BY$4)/$C$4</f>
        <v>8.5</v>
      </c>
      <c r="CC6" s="107">
        <f t="shared" si="2"/>
        <v>9.75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0</v>
      </c>
      <c r="V7" s="99">
        <f t="shared" si="20"/>
        <v>0</v>
      </c>
      <c r="W7" s="4">
        <f t="shared" si="21"/>
        <v>0</v>
      </c>
      <c r="X7" s="99">
        <f>'Data of 1st to 20th criteria '!R7</f>
        <v>0</v>
      </c>
      <c r="Y7" s="99">
        <f t="shared" si="22"/>
        <v>0</v>
      </c>
      <c r="Z7" s="99">
        <f t="shared" si="23"/>
        <v>0</v>
      </c>
      <c r="AA7" s="105">
        <f>(F7*F$4+I7*I$4+L7*L$4+O7*O$4+R7*R$4+U7*U$4+X7*X$4)/$C$4</f>
        <v>0</v>
      </c>
      <c r="AB7" s="106">
        <f t="shared" si="24"/>
        <v>0</v>
      </c>
      <c r="AC7" s="107">
        <f t="shared" si="25"/>
        <v>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0</v>
      </c>
      <c r="AP7" s="99">
        <f t="shared" si="32"/>
        <v>0</v>
      </c>
      <c r="AQ7" s="4">
        <f t="shared" si="33"/>
        <v>0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0</v>
      </c>
      <c r="AV7" s="99">
        <f t="shared" si="36"/>
        <v>0</v>
      </c>
      <c r="AW7" s="4">
        <f t="shared" si="37"/>
        <v>0</v>
      </c>
      <c r="AX7" s="99">
        <f>'Data of 1st to 20th criteria '!AA7</f>
        <v>0</v>
      </c>
      <c r="AY7" s="99">
        <f t="shared" si="38"/>
        <v>0</v>
      </c>
      <c r="AZ7" s="4">
        <f t="shared" si="39"/>
        <v>0</v>
      </c>
      <c r="BA7" s="105">
        <f>(AF7*AF$4+AI7*AI$4+AL7*AL$4+AO7*AO$4+AR7*AR$4+AU7*AU$4+AX7*AX$4)/$C$4</f>
        <v>0</v>
      </c>
      <c r="BB7" s="106">
        <f t="shared" si="40"/>
        <v>0</v>
      </c>
      <c r="BC7" s="107">
        <f t="shared" si="1"/>
        <v>0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0</v>
      </c>
      <c r="BS7" s="99">
        <f t="shared" si="49"/>
        <v>0</v>
      </c>
      <c r="BT7" s="4">
        <f t="shared" si="50"/>
        <v>0</v>
      </c>
      <c r="BU7" s="97">
        <f>'Data of 1st to 20th criteria '!AI7</f>
        <v>0</v>
      </c>
      <c r="BV7" s="99">
        <f t="shared" si="51"/>
        <v>0</v>
      </c>
      <c r="BW7" s="4">
        <f t="shared" si="52"/>
        <v>0</v>
      </c>
      <c r="BX7" s="99">
        <f>'Data of 1st to 20th criteria '!AJ7</f>
        <v>0</v>
      </c>
      <c r="BY7" s="99">
        <f t="shared" si="53"/>
        <v>0</v>
      </c>
      <c r="BZ7" s="4">
        <f t="shared" si="54"/>
        <v>0</v>
      </c>
      <c r="CA7" s="105">
        <f>(BF7*BF$4+BI7*BI$4+BL7*BL$4+BO7*BO$4+BR7*BR$4+BU7*BU$4+BX7*BX$4)/$C$4</f>
        <v>0</v>
      </c>
      <c r="CB7" s="106">
        <f t="shared" si="55"/>
        <v>0</v>
      </c>
      <c r="CC7" s="107">
        <f t="shared" si="2"/>
        <v>0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79"/>
      <c r="F46" s="173" t="s">
        <v>287</v>
      </c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5"/>
      <c r="AA46" s="185" t="s">
        <v>325</v>
      </c>
      <c r="AB46" s="186"/>
      <c r="AC46" s="187"/>
      <c r="AE46" s="179"/>
      <c r="AF46" s="173" t="s">
        <v>288</v>
      </c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5"/>
      <c r="BA46" s="185" t="s">
        <v>325</v>
      </c>
      <c r="BB46" s="186"/>
      <c r="BC46" s="187"/>
      <c r="BE46" s="179"/>
      <c r="BF46" s="173" t="s">
        <v>286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5"/>
      <c r="CA46" s="185" t="s">
        <v>325</v>
      </c>
      <c r="CB46" s="186"/>
      <c r="CC46" s="187"/>
      <c r="CE46" s="179"/>
      <c r="CF46" s="173" t="s">
        <v>285</v>
      </c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5"/>
      <c r="DA46" s="185" t="s">
        <v>325</v>
      </c>
      <c r="DB46" s="186"/>
      <c r="DC46" s="187"/>
      <c r="DE46" s="179"/>
      <c r="DF46" s="173" t="s">
        <v>284</v>
      </c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5"/>
      <c r="EA46" s="185" t="s">
        <v>325</v>
      </c>
      <c r="EB46" s="186"/>
      <c r="EC46" s="187"/>
      <c r="EE46" s="179"/>
      <c r="EF46" s="173" t="s">
        <v>283</v>
      </c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5"/>
      <c r="FA46" s="185" t="s">
        <v>325</v>
      </c>
      <c r="FB46" s="186"/>
      <c r="FC46" s="187"/>
      <c r="FE46" s="179"/>
      <c r="FF46" s="173" t="s">
        <v>282</v>
      </c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5"/>
      <c r="GA46" s="185" t="s">
        <v>325</v>
      </c>
      <c r="GB46" s="186"/>
      <c r="GC46" s="187"/>
      <c r="GE46" s="179"/>
      <c r="GF46" s="173" t="s">
        <v>281</v>
      </c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5"/>
      <c r="HA46" s="185" t="s">
        <v>325</v>
      </c>
      <c r="HB46" s="186"/>
      <c r="HC46" s="187"/>
      <c r="HE46" s="179"/>
      <c r="HF46" s="173" t="s">
        <v>280</v>
      </c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5"/>
      <c r="IA46" s="185" t="s">
        <v>325</v>
      </c>
      <c r="IB46" s="186"/>
      <c r="IC46" s="187"/>
      <c r="IE46" s="179"/>
      <c r="IF46" s="173" t="s">
        <v>279</v>
      </c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4"/>
      <c r="IZ46" s="175"/>
      <c r="JA46" s="185" t="s">
        <v>325</v>
      </c>
      <c r="JB46" s="186"/>
      <c r="JC46" s="187"/>
    </row>
    <row r="47" spans="5:263" ht="15.75" customHeight="1" x14ac:dyDescent="0.25">
      <c r="E47" s="180"/>
      <c r="F47" s="182" t="s">
        <v>318</v>
      </c>
      <c r="G47" s="183"/>
      <c r="H47" s="184"/>
      <c r="I47" s="182" t="s">
        <v>319</v>
      </c>
      <c r="J47" s="183"/>
      <c r="K47" s="184"/>
      <c r="L47" s="182" t="s">
        <v>320</v>
      </c>
      <c r="M47" s="183"/>
      <c r="N47" s="184"/>
      <c r="O47" s="182" t="s">
        <v>321</v>
      </c>
      <c r="P47" s="183"/>
      <c r="Q47" s="184"/>
      <c r="R47" s="182" t="s">
        <v>322</v>
      </c>
      <c r="S47" s="183"/>
      <c r="T47" s="184"/>
      <c r="U47" s="182" t="s">
        <v>323</v>
      </c>
      <c r="V47" s="183"/>
      <c r="W47" s="184"/>
      <c r="X47" s="182" t="s">
        <v>324</v>
      </c>
      <c r="Y47" s="183"/>
      <c r="Z47" s="184"/>
      <c r="AA47" s="188"/>
      <c r="AB47" s="189"/>
      <c r="AC47" s="190"/>
      <c r="AE47" s="180"/>
      <c r="AF47" s="182" t="s">
        <v>318</v>
      </c>
      <c r="AG47" s="183"/>
      <c r="AH47" s="184"/>
      <c r="AI47" s="182" t="s">
        <v>319</v>
      </c>
      <c r="AJ47" s="183"/>
      <c r="AK47" s="184"/>
      <c r="AL47" s="182" t="s">
        <v>320</v>
      </c>
      <c r="AM47" s="183"/>
      <c r="AN47" s="184"/>
      <c r="AO47" s="182" t="s">
        <v>321</v>
      </c>
      <c r="AP47" s="183"/>
      <c r="AQ47" s="184"/>
      <c r="AR47" s="182" t="s">
        <v>322</v>
      </c>
      <c r="AS47" s="183"/>
      <c r="AT47" s="184"/>
      <c r="AU47" s="182" t="s">
        <v>323</v>
      </c>
      <c r="AV47" s="183"/>
      <c r="AW47" s="184"/>
      <c r="AX47" s="182" t="s">
        <v>324</v>
      </c>
      <c r="AY47" s="183"/>
      <c r="AZ47" s="184"/>
      <c r="BA47" s="188"/>
      <c r="BB47" s="189"/>
      <c r="BC47" s="190"/>
      <c r="BE47" s="180"/>
      <c r="BF47" s="182" t="s">
        <v>318</v>
      </c>
      <c r="BG47" s="183"/>
      <c r="BH47" s="184"/>
      <c r="BI47" s="182" t="s">
        <v>319</v>
      </c>
      <c r="BJ47" s="183"/>
      <c r="BK47" s="184"/>
      <c r="BL47" s="182" t="s">
        <v>320</v>
      </c>
      <c r="BM47" s="183"/>
      <c r="BN47" s="184"/>
      <c r="BO47" s="182" t="s">
        <v>321</v>
      </c>
      <c r="BP47" s="183"/>
      <c r="BQ47" s="184"/>
      <c r="BR47" s="182" t="s">
        <v>322</v>
      </c>
      <c r="BS47" s="183"/>
      <c r="BT47" s="184"/>
      <c r="BU47" s="182" t="s">
        <v>323</v>
      </c>
      <c r="BV47" s="183"/>
      <c r="BW47" s="184"/>
      <c r="BX47" s="182" t="s">
        <v>324</v>
      </c>
      <c r="BY47" s="183"/>
      <c r="BZ47" s="184"/>
      <c r="CA47" s="188"/>
      <c r="CB47" s="189"/>
      <c r="CC47" s="190"/>
      <c r="CE47" s="180"/>
      <c r="CF47" s="182" t="s">
        <v>318</v>
      </c>
      <c r="CG47" s="183"/>
      <c r="CH47" s="184"/>
      <c r="CI47" s="182" t="s">
        <v>319</v>
      </c>
      <c r="CJ47" s="183"/>
      <c r="CK47" s="184"/>
      <c r="CL47" s="182" t="s">
        <v>320</v>
      </c>
      <c r="CM47" s="183"/>
      <c r="CN47" s="184"/>
      <c r="CO47" s="182" t="s">
        <v>321</v>
      </c>
      <c r="CP47" s="183"/>
      <c r="CQ47" s="184"/>
      <c r="CR47" s="182" t="s">
        <v>322</v>
      </c>
      <c r="CS47" s="183"/>
      <c r="CT47" s="184"/>
      <c r="CU47" s="182" t="s">
        <v>323</v>
      </c>
      <c r="CV47" s="183"/>
      <c r="CW47" s="184"/>
      <c r="CX47" s="182" t="s">
        <v>324</v>
      </c>
      <c r="CY47" s="183"/>
      <c r="CZ47" s="184"/>
      <c r="DA47" s="188"/>
      <c r="DB47" s="189"/>
      <c r="DC47" s="190"/>
      <c r="DE47" s="180"/>
      <c r="DF47" s="182" t="s">
        <v>318</v>
      </c>
      <c r="DG47" s="183"/>
      <c r="DH47" s="184"/>
      <c r="DI47" s="182" t="s">
        <v>319</v>
      </c>
      <c r="DJ47" s="183"/>
      <c r="DK47" s="184"/>
      <c r="DL47" s="182" t="s">
        <v>320</v>
      </c>
      <c r="DM47" s="183"/>
      <c r="DN47" s="184"/>
      <c r="DO47" s="182" t="s">
        <v>321</v>
      </c>
      <c r="DP47" s="183"/>
      <c r="DQ47" s="184"/>
      <c r="DR47" s="182" t="s">
        <v>322</v>
      </c>
      <c r="DS47" s="183"/>
      <c r="DT47" s="184"/>
      <c r="DU47" s="182" t="s">
        <v>323</v>
      </c>
      <c r="DV47" s="183"/>
      <c r="DW47" s="184"/>
      <c r="DX47" s="182" t="s">
        <v>324</v>
      </c>
      <c r="DY47" s="183"/>
      <c r="DZ47" s="184"/>
      <c r="EA47" s="188"/>
      <c r="EB47" s="189"/>
      <c r="EC47" s="190"/>
      <c r="EE47" s="180"/>
      <c r="EF47" s="182" t="s">
        <v>318</v>
      </c>
      <c r="EG47" s="183"/>
      <c r="EH47" s="184"/>
      <c r="EI47" s="182" t="s">
        <v>319</v>
      </c>
      <c r="EJ47" s="183"/>
      <c r="EK47" s="184"/>
      <c r="EL47" s="182" t="s">
        <v>320</v>
      </c>
      <c r="EM47" s="183"/>
      <c r="EN47" s="184"/>
      <c r="EO47" s="182" t="s">
        <v>321</v>
      </c>
      <c r="EP47" s="183"/>
      <c r="EQ47" s="184"/>
      <c r="ER47" s="182" t="s">
        <v>322</v>
      </c>
      <c r="ES47" s="183"/>
      <c r="ET47" s="184"/>
      <c r="EU47" s="182" t="s">
        <v>323</v>
      </c>
      <c r="EV47" s="183"/>
      <c r="EW47" s="184"/>
      <c r="EX47" s="182" t="s">
        <v>324</v>
      </c>
      <c r="EY47" s="183"/>
      <c r="EZ47" s="184"/>
      <c r="FA47" s="188"/>
      <c r="FB47" s="189"/>
      <c r="FC47" s="190"/>
      <c r="FE47" s="180"/>
      <c r="FF47" s="182" t="s">
        <v>318</v>
      </c>
      <c r="FG47" s="183"/>
      <c r="FH47" s="184"/>
      <c r="FI47" s="182" t="s">
        <v>319</v>
      </c>
      <c r="FJ47" s="183"/>
      <c r="FK47" s="184"/>
      <c r="FL47" s="182" t="s">
        <v>320</v>
      </c>
      <c r="FM47" s="183"/>
      <c r="FN47" s="184"/>
      <c r="FO47" s="182" t="s">
        <v>321</v>
      </c>
      <c r="FP47" s="183"/>
      <c r="FQ47" s="184"/>
      <c r="FR47" s="182" t="s">
        <v>322</v>
      </c>
      <c r="FS47" s="183"/>
      <c r="FT47" s="184"/>
      <c r="FU47" s="182" t="s">
        <v>323</v>
      </c>
      <c r="FV47" s="183"/>
      <c r="FW47" s="184"/>
      <c r="FX47" s="182" t="s">
        <v>324</v>
      </c>
      <c r="FY47" s="183"/>
      <c r="FZ47" s="184"/>
      <c r="GA47" s="188"/>
      <c r="GB47" s="189"/>
      <c r="GC47" s="190"/>
      <c r="GE47" s="180"/>
      <c r="GF47" s="182" t="s">
        <v>318</v>
      </c>
      <c r="GG47" s="183"/>
      <c r="GH47" s="184"/>
      <c r="GI47" s="182" t="s">
        <v>319</v>
      </c>
      <c r="GJ47" s="183"/>
      <c r="GK47" s="184"/>
      <c r="GL47" s="182" t="s">
        <v>320</v>
      </c>
      <c r="GM47" s="183"/>
      <c r="GN47" s="184"/>
      <c r="GO47" s="182" t="s">
        <v>321</v>
      </c>
      <c r="GP47" s="183"/>
      <c r="GQ47" s="184"/>
      <c r="GR47" s="182" t="s">
        <v>322</v>
      </c>
      <c r="GS47" s="183"/>
      <c r="GT47" s="184"/>
      <c r="GU47" s="182" t="s">
        <v>323</v>
      </c>
      <c r="GV47" s="183"/>
      <c r="GW47" s="184"/>
      <c r="GX47" s="182" t="s">
        <v>324</v>
      </c>
      <c r="GY47" s="183"/>
      <c r="GZ47" s="184"/>
      <c r="HA47" s="188"/>
      <c r="HB47" s="189"/>
      <c r="HC47" s="190"/>
      <c r="HE47" s="180"/>
      <c r="HF47" s="182" t="s">
        <v>318</v>
      </c>
      <c r="HG47" s="183"/>
      <c r="HH47" s="184"/>
      <c r="HI47" s="182" t="s">
        <v>319</v>
      </c>
      <c r="HJ47" s="183"/>
      <c r="HK47" s="184"/>
      <c r="HL47" s="182" t="s">
        <v>320</v>
      </c>
      <c r="HM47" s="183"/>
      <c r="HN47" s="184"/>
      <c r="HO47" s="182" t="s">
        <v>321</v>
      </c>
      <c r="HP47" s="183"/>
      <c r="HQ47" s="184"/>
      <c r="HR47" s="182" t="s">
        <v>322</v>
      </c>
      <c r="HS47" s="183"/>
      <c r="HT47" s="184"/>
      <c r="HU47" s="182" t="s">
        <v>323</v>
      </c>
      <c r="HV47" s="183"/>
      <c r="HW47" s="184"/>
      <c r="HX47" s="182" t="s">
        <v>324</v>
      </c>
      <c r="HY47" s="183"/>
      <c r="HZ47" s="184"/>
      <c r="IA47" s="188"/>
      <c r="IB47" s="189"/>
      <c r="IC47" s="190"/>
      <c r="IE47" s="180"/>
      <c r="IF47" s="182" t="s">
        <v>318</v>
      </c>
      <c r="IG47" s="183"/>
      <c r="IH47" s="184"/>
      <c r="II47" s="182" t="s">
        <v>319</v>
      </c>
      <c r="IJ47" s="183"/>
      <c r="IK47" s="184"/>
      <c r="IL47" s="182" t="s">
        <v>320</v>
      </c>
      <c r="IM47" s="183"/>
      <c r="IN47" s="184"/>
      <c r="IO47" s="182" t="s">
        <v>321</v>
      </c>
      <c r="IP47" s="183"/>
      <c r="IQ47" s="184"/>
      <c r="IR47" s="182" t="s">
        <v>322</v>
      </c>
      <c r="IS47" s="183"/>
      <c r="IT47" s="184"/>
      <c r="IU47" s="182" t="s">
        <v>323</v>
      </c>
      <c r="IV47" s="183"/>
      <c r="IW47" s="184"/>
      <c r="IX47" s="182" t="s">
        <v>324</v>
      </c>
      <c r="IY47" s="183"/>
      <c r="IZ47" s="184"/>
      <c r="JA47" s="188"/>
      <c r="JB47" s="189"/>
      <c r="JC47" s="190"/>
    </row>
    <row r="48" spans="5:263" ht="16.5" thickBot="1" x14ac:dyDescent="0.3">
      <c r="E48" s="181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1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1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1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1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1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1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1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1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1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79"/>
      <c r="F2" s="173" t="s">
        <v>289</v>
      </c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85" t="s">
        <v>325</v>
      </c>
      <c r="AB2" s="186"/>
      <c r="AC2" s="187"/>
      <c r="AE2" s="179"/>
      <c r="AF2" s="173" t="s">
        <v>290</v>
      </c>
      <c r="AG2" s="174"/>
      <c r="AH2" s="174"/>
      <c r="AI2" s="174"/>
      <c r="AJ2" s="174"/>
      <c r="AK2" s="174"/>
      <c r="AL2" s="174"/>
      <c r="AM2" s="174"/>
      <c r="AN2" s="174"/>
      <c r="AO2" s="174"/>
      <c r="AP2" s="174"/>
      <c r="AQ2" s="174"/>
      <c r="AR2" s="174"/>
      <c r="AS2" s="174"/>
      <c r="AT2" s="174"/>
      <c r="AU2" s="174"/>
      <c r="AV2" s="174"/>
      <c r="AW2" s="174"/>
      <c r="AX2" s="174"/>
      <c r="AY2" s="174"/>
      <c r="AZ2" s="175"/>
      <c r="BA2" s="185" t="s">
        <v>325</v>
      </c>
      <c r="BB2" s="186"/>
      <c r="BC2" s="187"/>
      <c r="BE2" s="179"/>
      <c r="BF2" s="173" t="s">
        <v>291</v>
      </c>
      <c r="BG2" s="174"/>
      <c r="BH2" s="174"/>
      <c r="BI2" s="174"/>
      <c r="BJ2" s="174"/>
      <c r="BK2" s="174"/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5"/>
      <c r="CA2" s="185" t="s">
        <v>325</v>
      </c>
      <c r="CB2" s="186"/>
      <c r="CC2" s="187"/>
      <c r="CE2" s="179"/>
      <c r="CF2" s="173" t="s">
        <v>292</v>
      </c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5"/>
      <c r="DA2" s="185" t="s">
        <v>325</v>
      </c>
      <c r="DB2" s="186"/>
      <c r="DC2" s="187"/>
      <c r="DE2" s="179"/>
      <c r="DF2" s="173" t="s">
        <v>293</v>
      </c>
      <c r="DG2" s="174"/>
      <c r="DH2" s="174"/>
      <c r="DI2" s="174"/>
      <c r="DJ2" s="174"/>
      <c r="DK2" s="174"/>
      <c r="DL2" s="174"/>
      <c r="DM2" s="174"/>
      <c r="DN2" s="174"/>
      <c r="DO2" s="174"/>
      <c r="DP2" s="174"/>
      <c r="DQ2" s="174"/>
      <c r="DR2" s="174"/>
      <c r="DS2" s="174"/>
      <c r="DT2" s="174"/>
      <c r="DU2" s="174"/>
      <c r="DV2" s="174"/>
      <c r="DW2" s="174"/>
      <c r="DX2" s="174"/>
      <c r="DY2" s="174"/>
      <c r="DZ2" s="175"/>
      <c r="EA2" s="185" t="s">
        <v>325</v>
      </c>
      <c r="EB2" s="186"/>
      <c r="EC2" s="187"/>
      <c r="EE2" s="179"/>
      <c r="EF2" s="173" t="s">
        <v>294</v>
      </c>
      <c r="EG2" s="174"/>
      <c r="EH2" s="174"/>
      <c r="EI2" s="174"/>
      <c r="EJ2" s="174"/>
      <c r="EK2" s="174"/>
      <c r="EL2" s="174"/>
      <c r="EM2" s="174"/>
      <c r="EN2" s="174"/>
      <c r="EO2" s="174"/>
      <c r="EP2" s="174"/>
      <c r="EQ2" s="174"/>
      <c r="ER2" s="174"/>
      <c r="ES2" s="174"/>
      <c r="ET2" s="174"/>
      <c r="EU2" s="174"/>
      <c r="EV2" s="174"/>
      <c r="EW2" s="174"/>
      <c r="EX2" s="174"/>
      <c r="EY2" s="174"/>
      <c r="EZ2" s="175"/>
      <c r="FA2" s="185" t="s">
        <v>325</v>
      </c>
      <c r="FB2" s="186"/>
      <c r="FC2" s="187"/>
      <c r="FE2" s="179"/>
      <c r="FF2" s="173" t="s">
        <v>295</v>
      </c>
      <c r="FG2" s="174"/>
      <c r="FH2" s="174"/>
      <c r="FI2" s="174"/>
      <c r="FJ2" s="174"/>
      <c r="FK2" s="174"/>
      <c r="FL2" s="174"/>
      <c r="FM2" s="174"/>
      <c r="FN2" s="174"/>
      <c r="FO2" s="174"/>
      <c r="FP2" s="174"/>
      <c r="FQ2" s="174"/>
      <c r="FR2" s="174"/>
      <c r="FS2" s="174"/>
      <c r="FT2" s="174"/>
      <c r="FU2" s="174"/>
      <c r="FV2" s="174"/>
      <c r="FW2" s="174"/>
      <c r="FX2" s="174"/>
      <c r="FY2" s="174"/>
      <c r="FZ2" s="175"/>
      <c r="GA2" s="185" t="s">
        <v>325</v>
      </c>
      <c r="GB2" s="186"/>
      <c r="GC2" s="187"/>
      <c r="GE2" s="179"/>
      <c r="GF2" s="173" t="s">
        <v>296</v>
      </c>
      <c r="GG2" s="174"/>
      <c r="GH2" s="174"/>
      <c r="GI2" s="174"/>
      <c r="GJ2" s="174"/>
      <c r="GK2" s="174"/>
      <c r="GL2" s="174"/>
      <c r="GM2" s="174"/>
      <c r="GN2" s="174"/>
      <c r="GO2" s="174"/>
      <c r="GP2" s="174"/>
      <c r="GQ2" s="174"/>
      <c r="GR2" s="174"/>
      <c r="GS2" s="174"/>
      <c r="GT2" s="174"/>
      <c r="GU2" s="174"/>
      <c r="GV2" s="174"/>
      <c r="GW2" s="174"/>
      <c r="GX2" s="174"/>
      <c r="GY2" s="174"/>
      <c r="GZ2" s="175"/>
      <c r="HA2" s="185" t="s">
        <v>325</v>
      </c>
      <c r="HB2" s="186"/>
      <c r="HC2" s="187"/>
      <c r="HE2" s="179"/>
      <c r="HF2" s="173" t="s">
        <v>297</v>
      </c>
      <c r="HG2" s="174"/>
      <c r="HH2" s="174"/>
      <c r="HI2" s="174"/>
      <c r="HJ2" s="174"/>
      <c r="HK2" s="174"/>
      <c r="HL2" s="174"/>
      <c r="HM2" s="174"/>
      <c r="HN2" s="174"/>
      <c r="HO2" s="174"/>
      <c r="HP2" s="174"/>
      <c r="HQ2" s="174"/>
      <c r="HR2" s="174"/>
      <c r="HS2" s="174"/>
      <c r="HT2" s="174"/>
      <c r="HU2" s="174"/>
      <c r="HV2" s="174"/>
      <c r="HW2" s="174"/>
      <c r="HX2" s="174"/>
      <c r="HY2" s="174"/>
      <c r="HZ2" s="175"/>
      <c r="IA2" s="185" t="s">
        <v>325</v>
      </c>
      <c r="IB2" s="186"/>
      <c r="IC2" s="187"/>
      <c r="IE2" s="179"/>
      <c r="IF2" s="173" t="s">
        <v>298</v>
      </c>
      <c r="IG2" s="174"/>
      <c r="IH2" s="174"/>
      <c r="II2" s="174"/>
      <c r="IJ2" s="174"/>
      <c r="IK2" s="174"/>
      <c r="IL2" s="174"/>
      <c r="IM2" s="174"/>
      <c r="IN2" s="174"/>
      <c r="IO2" s="174"/>
      <c r="IP2" s="174"/>
      <c r="IQ2" s="174"/>
      <c r="IR2" s="174"/>
      <c r="IS2" s="174"/>
      <c r="IT2" s="174"/>
      <c r="IU2" s="174"/>
      <c r="IV2" s="174"/>
      <c r="IW2" s="174"/>
      <c r="IX2" s="174"/>
      <c r="IY2" s="174"/>
      <c r="IZ2" s="175"/>
      <c r="JA2" s="185" t="s">
        <v>325</v>
      </c>
      <c r="JB2" s="186"/>
      <c r="JC2" s="187"/>
    </row>
    <row r="3" spans="1:263" ht="24" customHeight="1" thickBot="1" x14ac:dyDescent="0.3">
      <c r="A3" s="191" t="s">
        <v>208</v>
      </c>
      <c r="B3" s="192"/>
      <c r="E3" s="180"/>
      <c r="F3" s="182" t="s">
        <v>318</v>
      </c>
      <c r="G3" s="183"/>
      <c r="H3" s="184"/>
      <c r="I3" s="182" t="s">
        <v>319</v>
      </c>
      <c r="J3" s="183"/>
      <c r="K3" s="184"/>
      <c r="L3" s="182" t="s">
        <v>320</v>
      </c>
      <c r="M3" s="183"/>
      <c r="N3" s="184"/>
      <c r="O3" s="182" t="s">
        <v>321</v>
      </c>
      <c r="P3" s="183"/>
      <c r="Q3" s="184"/>
      <c r="R3" s="182" t="s">
        <v>322</v>
      </c>
      <c r="S3" s="183"/>
      <c r="T3" s="184"/>
      <c r="U3" s="182" t="s">
        <v>323</v>
      </c>
      <c r="V3" s="183"/>
      <c r="W3" s="184"/>
      <c r="X3" s="182" t="s">
        <v>324</v>
      </c>
      <c r="Y3" s="183"/>
      <c r="Z3" s="184"/>
      <c r="AA3" s="188"/>
      <c r="AB3" s="189"/>
      <c r="AC3" s="190"/>
      <c r="AE3" s="180"/>
      <c r="AF3" s="182" t="s">
        <v>318</v>
      </c>
      <c r="AG3" s="183"/>
      <c r="AH3" s="184"/>
      <c r="AI3" s="182" t="s">
        <v>319</v>
      </c>
      <c r="AJ3" s="183"/>
      <c r="AK3" s="184"/>
      <c r="AL3" s="182" t="s">
        <v>320</v>
      </c>
      <c r="AM3" s="183"/>
      <c r="AN3" s="184"/>
      <c r="AO3" s="182" t="s">
        <v>321</v>
      </c>
      <c r="AP3" s="183"/>
      <c r="AQ3" s="184"/>
      <c r="AR3" s="182" t="s">
        <v>322</v>
      </c>
      <c r="AS3" s="183"/>
      <c r="AT3" s="184"/>
      <c r="AU3" s="182" t="s">
        <v>323</v>
      </c>
      <c r="AV3" s="183"/>
      <c r="AW3" s="184"/>
      <c r="AX3" s="182" t="s">
        <v>324</v>
      </c>
      <c r="AY3" s="183"/>
      <c r="AZ3" s="184"/>
      <c r="BA3" s="188"/>
      <c r="BB3" s="189"/>
      <c r="BC3" s="190"/>
      <c r="BE3" s="180"/>
      <c r="BF3" s="182" t="s">
        <v>318</v>
      </c>
      <c r="BG3" s="183"/>
      <c r="BH3" s="184"/>
      <c r="BI3" s="182" t="s">
        <v>319</v>
      </c>
      <c r="BJ3" s="183"/>
      <c r="BK3" s="184"/>
      <c r="BL3" s="182" t="s">
        <v>320</v>
      </c>
      <c r="BM3" s="183"/>
      <c r="BN3" s="184"/>
      <c r="BO3" s="182" t="s">
        <v>321</v>
      </c>
      <c r="BP3" s="183"/>
      <c r="BQ3" s="184"/>
      <c r="BR3" s="182" t="s">
        <v>322</v>
      </c>
      <c r="BS3" s="183"/>
      <c r="BT3" s="184"/>
      <c r="BU3" s="182" t="s">
        <v>323</v>
      </c>
      <c r="BV3" s="183"/>
      <c r="BW3" s="184"/>
      <c r="BX3" s="182" t="s">
        <v>324</v>
      </c>
      <c r="BY3" s="183"/>
      <c r="BZ3" s="184"/>
      <c r="CA3" s="188"/>
      <c r="CB3" s="189"/>
      <c r="CC3" s="190"/>
      <c r="CE3" s="180"/>
      <c r="CF3" s="182" t="s">
        <v>318</v>
      </c>
      <c r="CG3" s="183"/>
      <c r="CH3" s="184"/>
      <c r="CI3" s="182" t="s">
        <v>319</v>
      </c>
      <c r="CJ3" s="183"/>
      <c r="CK3" s="184"/>
      <c r="CL3" s="182" t="s">
        <v>320</v>
      </c>
      <c r="CM3" s="183"/>
      <c r="CN3" s="184"/>
      <c r="CO3" s="182" t="s">
        <v>321</v>
      </c>
      <c r="CP3" s="183"/>
      <c r="CQ3" s="184"/>
      <c r="CR3" s="182" t="s">
        <v>322</v>
      </c>
      <c r="CS3" s="183"/>
      <c r="CT3" s="184"/>
      <c r="CU3" s="182" t="s">
        <v>323</v>
      </c>
      <c r="CV3" s="183"/>
      <c r="CW3" s="184"/>
      <c r="CX3" s="182" t="s">
        <v>324</v>
      </c>
      <c r="CY3" s="183"/>
      <c r="CZ3" s="184"/>
      <c r="DA3" s="188"/>
      <c r="DB3" s="189"/>
      <c r="DC3" s="190"/>
      <c r="DE3" s="180"/>
      <c r="DF3" s="182" t="s">
        <v>318</v>
      </c>
      <c r="DG3" s="183"/>
      <c r="DH3" s="184"/>
      <c r="DI3" s="182" t="s">
        <v>319</v>
      </c>
      <c r="DJ3" s="183"/>
      <c r="DK3" s="184"/>
      <c r="DL3" s="182" t="s">
        <v>320</v>
      </c>
      <c r="DM3" s="183"/>
      <c r="DN3" s="184"/>
      <c r="DO3" s="182" t="s">
        <v>321</v>
      </c>
      <c r="DP3" s="183"/>
      <c r="DQ3" s="184"/>
      <c r="DR3" s="182" t="s">
        <v>322</v>
      </c>
      <c r="DS3" s="183"/>
      <c r="DT3" s="184"/>
      <c r="DU3" s="182" t="s">
        <v>323</v>
      </c>
      <c r="DV3" s="183"/>
      <c r="DW3" s="184"/>
      <c r="DX3" s="182" t="s">
        <v>324</v>
      </c>
      <c r="DY3" s="183"/>
      <c r="DZ3" s="184"/>
      <c r="EA3" s="188"/>
      <c r="EB3" s="189"/>
      <c r="EC3" s="190"/>
      <c r="EE3" s="180"/>
      <c r="EF3" s="182" t="s">
        <v>318</v>
      </c>
      <c r="EG3" s="183"/>
      <c r="EH3" s="184"/>
      <c r="EI3" s="182" t="s">
        <v>319</v>
      </c>
      <c r="EJ3" s="183"/>
      <c r="EK3" s="184"/>
      <c r="EL3" s="182" t="s">
        <v>320</v>
      </c>
      <c r="EM3" s="183"/>
      <c r="EN3" s="184"/>
      <c r="EO3" s="182" t="s">
        <v>321</v>
      </c>
      <c r="EP3" s="183"/>
      <c r="EQ3" s="184"/>
      <c r="ER3" s="182" t="s">
        <v>322</v>
      </c>
      <c r="ES3" s="183"/>
      <c r="ET3" s="184"/>
      <c r="EU3" s="182" t="s">
        <v>323</v>
      </c>
      <c r="EV3" s="183"/>
      <c r="EW3" s="184"/>
      <c r="EX3" s="182" t="s">
        <v>324</v>
      </c>
      <c r="EY3" s="183"/>
      <c r="EZ3" s="184"/>
      <c r="FA3" s="188"/>
      <c r="FB3" s="189"/>
      <c r="FC3" s="190"/>
      <c r="FE3" s="180"/>
      <c r="FF3" s="182" t="s">
        <v>318</v>
      </c>
      <c r="FG3" s="183"/>
      <c r="FH3" s="184"/>
      <c r="FI3" s="182" t="s">
        <v>319</v>
      </c>
      <c r="FJ3" s="183"/>
      <c r="FK3" s="184"/>
      <c r="FL3" s="182" t="s">
        <v>320</v>
      </c>
      <c r="FM3" s="183"/>
      <c r="FN3" s="184"/>
      <c r="FO3" s="182" t="s">
        <v>321</v>
      </c>
      <c r="FP3" s="183"/>
      <c r="FQ3" s="184"/>
      <c r="FR3" s="182" t="s">
        <v>322</v>
      </c>
      <c r="FS3" s="183"/>
      <c r="FT3" s="184"/>
      <c r="FU3" s="182" t="s">
        <v>323</v>
      </c>
      <c r="FV3" s="183"/>
      <c r="FW3" s="184"/>
      <c r="FX3" s="182" t="s">
        <v>324</v>
      </c>
      <c r="FY3" s="183"/>
      <c r="FZ3" s="184"/>
      <c r="GA3" s="188"/>
      <c r="GB3" s="189"/>
      <c r="GC3" s="190"/>
      <c r="GE3" s="180"/>
      <c r="GF3" s="182" t="s">
        <v>318</v>
      </c>
      <c r="GG3" s="183"/>
      <c r="GH3" s="184"/>
      <c r="GI3" s="182" t="s">
        <v>319</v>
      </c>
      <c r="GJ3" s="183"/>
      <c r="GK3" s="184"/>
      <c r="GL3" s="182" t="s">
        <v>320</v>
      </c>
      <c r="GM3" s="183"/>
      <c r="GN3" s="184"/>
      <c r="GO3" s="182" t="s">
        <v>321</v>
      </c>
      <c r="GP3" s="183"/>
      <c r="GQ3" s="184"/>
      <c r="GR3" s="182" t="s">
        <v>322</v>
      </c>
      <c r="GS3" s="183"/>
      <c r="GT3" s="184"/>
      <c r="GU3" s="182" t="s">
        <v>323</v>
      </c>
      <c r="GV3" s="183"/>
      <c r="GW3" s="184"/>
      <c r="GX3" s="182" t="s">
        <v>324</v>
      </c>
      <c r="GY3" s="183"/>
      <c r="GZ3" s="184"/>
      <c r="HA3" s="188"/>
      <c r="HB3" s="189"/>
      <c r="HC3" s="190"/>
      <c r="HE3" s="180"/>
      <c r="HF3" s="182" t="s">
        <v>318</v>
      </c>
      <c r="HG3" s="183"/>
      <c r="HH3" s="184"/>
      <c r="HI3" s="182" t="s">
        <v>319</v>
      </c>
      <c r="HJ3" s="183"/>
      <c r="HK3" s="184"/>
      <c r="HL3" s="182" t="s">
        <v>320</v>
      </c>
      <c r="HM3" s="183"/>
      <c r="HN3" s="184"/>
      <c r="HO3" s="182" t="s">
        <v>321</v>
      </c>
      <c r="HP3" s="183"/>
      <c r="HQ3" s="184"/>
      <c r="HR3" s="182" t="s">
        <v>322</v>
      </c>
      <c r="HS3" s="183"/>
      <c r="HT3" s="184"/>
      <c r="HU3" s="182" t="s">
        <v>323</v>
      </c>
      <c r="HV3" s="183"/>
      <c r="HW3" s="184"/>
      <c r="HX3" s="182" t="s">
        <v>324</v>
      </c>
      <c r="HY3" s="183"/>
      <c r="HZ3" s="184"/>
      <c r="IA3" s="188"/>
      <c r="IB3" s="189"/>
      <c r="IC3" s="190"/>
      <c r="IE3" s="180"/>
      <c r="IF3" s="182" t="s">
        <v>318</v>
      </c>
      <c r="IG3" s="183"/>
      <c r="IH3" s="184"/>
      <c r="II3" s="182" t="s">
        <v>319</v>
      </c>
      <c r="IJ3" s="183"/>
      <c r="IK3" s="184"/>
      <c r="IL3" s="182" t="s">
        <v>320</v>
      </c>
      <c r="IM3" s="183"/>
      <c r="IN3" s="184"/>
      <c r="IO3" s="182" t="s">
        <v>321</v>
      </c>
      <c r="IP3" s="183"/>
      <c r="IQ3" s="184"/>
      <c r="IR3" s="182" t="s">
        <v>322</v>
      </c>
      <c r="IS3" s="183"/>
      <c r="IT3" s="184"/>
      <c r="IU3" s="182" t="s">
        <v>323</v>
      </c>
      <c r="IV3" s="183"/>
      <c r="IW3" s="184"/>
      <c r="IX3" s="182" t="s">
        <v>324</v>
      </c>
      <c r="IY3" s="183"/>
      <c r="IZ3" s="184"/>
      <c r="JA3" s="188"/>
      <c r="JB3" s="189"/>
      <c r="JC3" s="190"/>
    </row>
    <row r="4" spans="1:263" ht="19.5" customHeight="1" thickBot="1" x14ac:dyDescent="0.3">
      <c r="A4" s="193"/>
      <c r="B4" s="194"/>
      <c r="C4" s="1">
        <f>'Data of criteria'!D3</f>
        <v>4</v>
      </c>
      <c r="E4" s="181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1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1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1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1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1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1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1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1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1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79"/>
      <c r="F46" s="173" t="s">
        <v>307</v>
      </c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5"/>
      <c r="AA46" s="185" t="s">
        <v>325</v>
      </c>
      <c r="AB46" s="186"/>
      <c r="AC46" s="187"/>
      <c r="AE46" s="179"/>
      <c r="AF46" s="173" t="s">
        <v>308</v>
      </c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5"/>
      <c r="BA46" s="185" t="s">
        <v>325</v>
      </c>
      <c r="BB46" s="186"/>
      <c r="BC46" s="187"/>
      <c r="BE46" s="179"/>
      <c r="BF46" s="173" t="s">
        <v>306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5"/>
      <c r="CA46" s="185" t="s">
        <v>325</v>
      </c>
      <c r="CB46" s="186"/>
      <c r="CC46" s="187"/>
      <c r="CE46" s="179"/>
      <c r="CF46" s="173" t="s">
        <v>305</v>
      </c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5"/>
      <c r="DA46" s="185" t="s">
        <v>325</v>
      </c>
      <c r="DB46" s="186"/>
      <c r="DC46" s="187"/>
      <c r="DE46" s="179"/>
      <c r="DF46" s="173" t="s">
        <v>304</v>
      </c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5"/>
      <c r="EA46" s="185" t="s">
        <v>325</v>
      </c>
      <c r="EB46" s="186"/>
      <c r="EC46" s="187"/>
      <c r="EE46" s="179"/>
      <c r="EF46" s="173" t="s">
        <v>303</v>
      </c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5"/>
      <c r="FA46" s="185" t="s">
        <v>325</v>
      </c>
      <c r="FB46" s="186"/>
      <c r="FC46" s="187"/>
      <c r="FE46" s="179"/>
      <c r="FF46" s="173" t="s">
        <v>302</v>
      </c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5"/>
      <c r="GA46" s="185" t="s">
        <v>325</v>
      </c>
      <c r="GB46" s="186"/>
      <c r="GC46" s="187"/>
      <c r="GE46" s="179"/>
      <c r="GF46" s="173" t="s">
        <v>301</v>
      </c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5"/>
      <c r="HA46" s="185" t="s">
        <v>325</v>
      </c>
      <c r="HB46" s="186"/>
      <c r="HC46" s="187"/>
      <c r="HE46" s="179"/>
      <c r="HF46" s="173" t="s">
        <v>300</v>
      </c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5"/>
      <c r="IA46" s="185" t="s">
        <v>325</v>
      </c>
      <c r="IB46" s="186"/>
      <c r="IC46" s="187"/>
      <c r="IE46" s="179"/>
      <c r="IF46" s="173" t="s">
        <v>299</v>
      </c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4"/>
      <c r="IZ46" s="175"/>
      <c r="JA46" s="185" t="s">
        <v>325</v>
      </c>
      <c r="JB46" s="186"/>
      <c r="JC46" s="187"/>
    </row>
    <row r="47" spans="5:263" ht="15.75" customHeight="1" x14ac:dyDescent="0.25">
      <c r="E47" s="180"/>
      <c r="F47" s="182" t="s">
        <v>318</v>
      </c>
      <c r="G47" s="183"/>
      <c r="H47" s="184"/>
      <c r="I47" s="182" t="s">
        <v>319</v>
      </c>
      <c r="J47" s="183"/>
      <c r="K47" s="184"/>
      <c r="L47" s="182" t="s">
        <v>320</v>
      </c>
      <c r="M47" s="183"/>
      <c r="N47" s="184"/>
      <c r="O47" s="182" t="s">
        <v>321</v>
      </c>
      <c r="P47" s="183"/>
      <c r="Q47" s="184"/>
      <c r="R47" s="182" t="s">
        <v>322</v>
      </c>
      <c r="S47" s="183"/>
      <c r="T47" s="184"/>
      <c r="U47" s="182" t="s">
        <v>323</v>
      </c>
      <c r="V47" s="183"/>
      <c r="W47" s="184"/>
      <c r="X47" s="182" t="s">
        <v>324</v>
      </c>
      <c r="Y47" s="183"/>
      <c r="Z47" s="184"/>
      <c r="AA47" s="188"/>
      <c r="AB47" s="189"/>
      <c r="AC47" s="190"/>
      <c r="AE47" s="180"/>
      <c r="AF47" s="182" t="s">
        <v>318</v>
      </c>
      <c r="AG47" s="183"/>
      <c r="AH47" s="184"/>
      <c r="AI47" s="182" t="s">
        <v>319</v>
      </c>
      <c r="AJ47" s="183"/>
      <c r="AK47" s="184"/>
      <c r="AL47" s="182" t="s">
        <v>320</v>
      </c>
      <c r="AM47" s="183"/>
      <c r="AN47" s="184"/>
      <c r="AO47" s="182" t="s">
        <v>321</v>
      </c>
      <c r="AP47" s="183"/>
      <c r="AQ47" s="184"/>
      <c r="AR47" s="182" t="s">
        <v>322</v>
      </c>
      <c r="AS47" s="183"/>
      <c r="AT47" s="184"/>
      <c r="AU47" s="182" t="s">
        <v>323</v>
      </c>
      <c r="AV47" s="183"/>
      <c r="AW47" s="184"/>
      <c r="AX47" s="182" t="s">
        <v>324</v>
      </c>
      <c r="AY47" s="183"/>
      <c r="AZ47" s="184"/>
      <c r="BA47" s="188"/>
      <c r="BB47" s="189"/>
      <c r="BC47" s="190"/>
      <c r="BE47" s="180"/>
      <c r="BF47" s="182" t="s">
        <v>318</v>
      </c>
      <c r="BG47" s="183"/>
      <c r="BH47" s="184"/>
      <c r="BI47" s="182" t="s">
        <v>319</v>
      </c>
      <c r="BJ47" s="183"/>
      <c r="BK47" s="184"/>
      <c r="BL47" s="182" t="s">
        <v>320</v>
      </c>
      <c r="BM47" s="183"/>
      <c r="BN47" s="184"/>
      <c r="BO47" s="182" t="s">
        <v>321</v>
      </c>
      <c r="BP47" s="183"/>
      <c r="BQ47" s="184"/>
      <c r="BR47" s="182" t="s">
        <v>322</v>
      </c>
      <c r="BS47" s="183"/>
      <c r="BT47" s="184"/>
      <c r="BU47" s="182" t="s">
        <v>323</v>
      </c>
      <c r="BV47" s="183"/>
      <c r="BW47" s="184"/>
      <c r="BX47" s="182" t="s">
        <v>324</v>
      </c>
      <c r="BY47" s="183"/>
      <c r="BZ47" s="184"/>
      <c r="CA47" s="188"/>
      <c r="CB47" s="189"/>
      <c r="CC47" s="190"/>
      <c r="CE47" s="180"/>
      <c r="CF47" s="182" t="s">
        <v>318</v>
      </c>
      <c r="CG47" s="183"/>
      <c r="CH47" s="184"/>
      <c r="CI47" s="182" t="s">
        <v>319</v>
      </c>
      <c r="CJ47" s="183"/>
      <c r="CK47" s="184"/>
      <c r="CL47" s="182" t="s">
        <v>320</v>
      </c>
      <c r="CM47" s="183"/>
      <c r="CN47" s="184"/>
      <c r="CO47" s="182" t="s">
        <v>321</v>
      </c>
      <c r="CP47" s="183"/>
      <c r="CQ47" s="184"/>
      <c r="CR47" s="182" t="s">
        <v>322</v>
      </c>
      <c r="CS47" s="183"/>
      <c r="CT47" s="184"/>
      <c r="CU47" s="182" t="s">
        <v>323</v>
      </c>
      <c r="CV47" s="183"/>
      <c r="CW47" s="184"/>
      <c r="CX47" s="182" t="s">
        <v>324</v>
      </c>
      <c r="CY47" s="183"/>
      <c r="CZ47" s="184"/>
      <c r="DA47" s="188"/>
      <c r="DB47" s="189"/>
      <c r="DC47" s="190"/>
      <c r="DE47" s="180"/>
      <c r="DF47" s="182" t="s">
        <v>318</v>
      </c>
      <c r="DG47" s="183"/>
      <c r="DH47" s="184"/>
      <c r="DI47" s="182" t="s">
        <v>319</v>
      </c>
      <c r="DJ47" s="183"/>
      <c r="DK47" s="184"/>
      <c r="DL47" s="182" t="s">
        <v>320</v>
      </c>
      <c r="DM47" s="183"/>
      <c r="DN47" s="184"/>
      <c r="DO47" s="182" t="s">
        <v>321</v>
      </c>
      <c r="DP47" s="183"/>
      <c r="DQ47" s="184"/>
      <c r="DR47" s="182" t="s">
        <v>322</v>
      </c>
      <c r="DS47" s="183"/>
      <c r="DT47" s="184"/>
      <c r="DU47" s="182" t="s">
        <v>323</v>
      </c>
      <c r="DV47" s="183"/>
      <c r="DW47" s="184"/>
      <c r="DX47" s="182" t="s">
        <v>324</v>
      </c>
      <c r="DY47" s="183"/>
      <c r="DZ47" s="184"/>
      <c r="EA47" s="188"/>
      <c r="EB47" s="189"/>
      <c r="EC47" s="190"/>
      <c r="EE47" s="180"/>
      <c r="EF47" s="182" t="s">
        <v>318</v>
      </c>
      <c r="EG47" s="183"/>
      <c r="EH47" s="184"/>
      <c r="EI47" s="182" t="s">
        <v>319</v>
      </c>
      <c r="EJ47" s="183"/>
      <c r="EK47" s="184"/>
      <c r="EL47" s="182" t="s">
        <v>320</v>
      </c>
      <c r="EM47" s="183"/>
      <c r="EN47" s="184"/>
      <c r="EO47" s="182" t="s">
        <v>321</v>
      </c>
      <c r="EP47" s="183"/>
      <c r="EQ47" s="184"/>
      <c r="ER47" s="182" t="s">
        <v>322</v>
      </c>
      <c r="ES47" s="183"/>
      <c r="ET47" s="184"/>
      <c r="EU47" s="182" t="s">
        <v>323</v>
      </c>
      <c r="EV47" s="183"/>
      <c r="EW47" s="184"/>
      <c r="EX47" s="182" t="s">
        <v>324</v>
      </c>
      <c r="EY47" s="183"/>
      <c r="EZ47" s="184"/>
      <c r="FA47" s="188"/>
      <c r="FB47" s="189"/>
      <c r="FC47" s="190"/>
      <c r="FE47" s="180"/>
      <c r="FF47" s="182" t="s">
        <v>318</v>
      </c>
      <c r="FG47" s="183"/>
      <c r="FH47" s="184"/>
      <c r="FI47" s="182" t="s">
        <v>319</v>
      </c>
      <c r="FJ47" s="183"/>
      <c r="FK47" s="184"/>
      <c r="FL47" s="182" t="s">
        <v>320</v>
      </c>
      <c r="FM47" s="183"/>
      <c r="FN47" s="184"/>
      <c r="FO47" s="182" t="s">
        <v>321</v>
      </c>
      <c r="FP47" s="183"/>
      <c r="FQ47" s="184"/>
      <c r="FR47" s="182" t="s">
        <v>322</v>
      </c>
      <c r="FS47" s="183"/>
      <c r="FT47" s="184"/>
      <c r="FU47" s="182" t="s">
        <v>323</v>
      </c>
      <c r="FV47" s="183"/>
      <c r="FW47" s="184"/>
      <c r="FX47" s="182" t="s">
        <v>324</v>
      </c>
      <c r="FY47" s="183"/>
      <c r="FZ47" s="184"/>
      <c r="GA47" s="188"/>
      <c r="GB47" s="189"/>
      <c r="GC47" s="190"/>
      <c r="GE47" s="180"/>
      <c r="GF47" s="182" t="s">
        <v>318</v>
      </c>
      <c r="GG47" s="183"/>
      <c r="GH47" s="184"/>
      <c r="GI47" s="182" t="s">
        <v>319</v>
      </c>
      <c r="GJ47" s="183"/>
      <c r="GK47" s="184"/>
      <c r="GL47" s="182" t="s">
        <v>320</v>
      </c>
      <c r="GM47" s="183"/>
      <c r="GN47" s="184"/>
      <c r="GO47" s="182" t="s">
        <v>321</v>
      </c>
      <c r="GP47" s="183"/>
      <c r="GQ47" s="184"/>
      <c r="GR47" s="182" t="s">
        <v>322</v>
      </c>
      <c r="GS47" s="183"/>
      <c r="GT47" s="184"/>
      <c r="GU47" s="182" t="s">
        <v>323</v>
      </c>
      <c r="GV47" s="183"/>
      <c r="GW47" s="184"/>
      <c r="GX47" s="182" t="s">
        <v>324</v>
      </c>
      <c r="GY47" s="183"/>
      <c r="GZ47" s="184"/>
      <c r="HA47" s="188"/>
      <c r="HB47" s="189"/>
      <c r="HC47" s="190"/>
      <c r="HE47" s="180"/>
      <c r="HF47" s="182" t="s">
        <v>318</v>
      </c>
      <c r="HG47" s="183"/>
      <c r="HH47" s="184"/>
      <c r="HI47" s="182" t="s">
        <v>319</v>
      </c>
      <c r="HJ47" s="183"/>
      <c r="HK47" s="184"/>
      <c r="HL47" s="182" t="s">
        <v>320</v>
      </c>
      <c r="HM47" s="183"/>
      <c r="HN47" s="184"/>
      <c r="HO47" s="182" t="s">
        <v>321</v>
      </c>
      <c r="HP47" s="183"/>
      <c r="HQ47" s="184"/>
      <c r="HR47" s="182" t="s">
        <v>322</v>
      </c>
      <c r="HS47" s="183"/>
      <c r="HT47" s="184"/>
      <c r="HU47" s="182" t="s">
        <v>323</v>
      </c>
      <c r="HV47" s="183"/>
      <c r="HW47" s="184"/>
      <c r="HX47" s="182" t="s">
        <v>324</v>
      </c>
      <c r="HY47" s="183"/>
      <c r="HZ47" s="184"/>
      <c r="IA47" s="188"/>
      <c r="IB47" s="189"/>
      <c r="IC47" s="190"/>
      <c r="IE47" s="180"/>
      <c r="IF47" s="182" t="s">
        <v>318</v>
      </c>
      <c r="IG47" s="183"/>
      <c r="IH47" s="184"/>
      <c r="II47" s="182" t="s">
        <v>319</v>
      </c>
      <c r="IJ47" s="183"/>
      <c r="IK47" s="184"/>
      <c r="IL47" s="182" t="s">
        <v>320</v>
      </c>
      <c r="IM47" s="183"/>
      <c r="IN47" s="184"/>
      <c r="IO47" s="182" t="s">
        <v>321</v>
      </c>
      <c r="IP47" s="183"/>
      <c r="IQ47" s="184"/>
      <c r="IR47" s="182" t="s">
        <v>322</v>
      </c>
      <c r="IS47" s="183"/>
      <c r="IT47" s="184"/>
      <c r="IU47" s="182" t="s">
        <v>323</v>
      </c>
      <c r="IV47" s="183"/>
      <c r="IW47" s="184"/>
      <c r="IX47" s="182" t="s">
        <v>324</v>
      </c>
      <c r="IY47" s="183"/>
      <c r="IZ47" s="184"/>
      <c r="JA47" s="188"/>
      <c r="JB47" s="189"/>
      <c r="JC47" s="190"/>
    </row>
    <row r="48" spans="5:263" ht="16.5" thickBot="1" x14ac:dyDescent="0.3">
      <c r="E48" s="181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1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1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1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1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1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1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1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1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1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topLeftCell="L1"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6"/>
      <c r="I2" s="146"/>
      <c r="J2" s="146"/>
      <c r="K2" s="146"/>
      <c r="L2" s="146"/>
      <c r="M2" s="146"/>
      <c r="N2" s="146"/>
      <c r="O2" s="146"/>
      <c r="P2" s="146"/>
    </row>
    <row r="3" spans="8:16" hidden="1" x14ac:dyDescent="0.25">
      <c r="H3" s="146"/>
      <c r="I3" s="146"/>
      <c r="J3" s="146"/>
      <c r="K3" s="146"/>
      <c r="L3" s="146"/>
      <c r="M3" s="146"/>
      <c r="N3" s="146"/>
      <c r="O3" s="146"/>
      <c r="P3" s="146"/>
    </row>
    <row r="4" spans="8:16" hidden="1" x14ac:dyDescent="0.25">
      <c r="H4" s="146"/>
      <c r="I4" s="146"/>
      <c r="J4" s="146"/>
      <c r="K4" s="146"/>
      <c r="L4" s="146"/>
      <c r="M4" s="146"/>
      <c r="N4" s="146"/>
      <c r="O4" s="146"/>
      <c r="P4" s="146"/>
    </row>
    <row r="5" spans="8:16" hidden="1" x14ac:dyDescent="0.25">
      <c r="H5" s="146"/>
      <c r="I5" s="146"/>
      <c r="J5" s="146"/>
      <c r="K5" s="146"/>
      <c r="L5" s="146"/>
      <c r="M5" s="146"/>
      <c r="N5" s="146"/>
      <c r="O5" s="146"/>
      <c r="P5" s="146"/>
    </row>
    <row r="6" spans="8:16" hidden="1" x14ac:dyDescent="0.25">
      <c r="H6" s="146"/>
      <c r="I6" s="146"/>
      <c r="J6" s="146"/>
      <c r="K6" s="146"/>
      <c r="L6" s="146"/>
      <c r="M6" s="146"/>
      <c r="N6" s="146"/>
      <c r="O6" s="146"/>
      <c r="P6" s="146"/>
    </row>
    <row r="7" spans="8:16" hidden="1" x14ac:dyDescent="0.25">
      <c r="H7" s="146"/>
      <c r="I7" s="146"/>
      <c r="J7" s="146"/>
      <c r="K7" s="146"/>
      <c r="L7" s="146"/>
      <c r="M7" s="146"/>
      <c r="N7" s="146"/>
      <c r="O7" s="146"/>
      <c r="P7" s="146"/>
    </row>
    <row r="8" spans="8:16" hidden="1" x14ac:dyDescent="0.25">
      <c r="H8" s="146"/>
      <c r="I8" s="146"/>
      <c r="J8" s="146"/>
      <c r="K8" s="146"/>
      <c r="L8" s="146"/>
      <c r="M8" s="146"/>
      <c r="N8" s="146"/>
      <c r="O8" s="146"/>
      <c r="P8" s="146"/>
    </row>
    <row r="9" spans="8:16" hidden="1" x14ac:dyDescent="0.25">
      <c r="H9" s="146"/>
      <c r="I9" s="146"/>
      <c r="J9" s="146"/>
      <c r="K9" s="146"/>
      <c r="L9" s="146"/>
      <c r="M9" s="146"/>
      <c r="N9" s="146"/>
      <c r="O9" s="146"/>
      <c r="P9" s="146"/>
    </row>
    <row r="10" spans="8:16" hidden="1" x14ac:dyDescent="0.25">
      <c r="H10" s="146"/>
      <c r="I10" s="146"/>
      <c r="J10" s="146"/>
      <c r="K10" s="146"/>
      <c r="L10" s="146"/>
      <c r="M10" s="146"/>
      <c r="N10" s="146"/>
      <c r="O10" s="146"/>
      <c r="P10" s="146"/>
    </row>
    <row r="11" spans="8:16" hidden="1" x14ac:dyDescent="0.25">
      <c r="H11" s="146"/>
      <c r="I11" s="146"/>
      <c r="J11" s="146"/>
      <c r="K11" s="146"/>
      <c r="L11" s="146"/>
      <c r="M11" s="146"/>
      <c r="N11" s="146"/>
      <c r="O11" s="146"/>
      <c r="P11" s="146"/>
    </row>
    <row r="12" spans="8:16" hidden="1" x14ac:dyDescent="0.25">
      <c r="H12" s="146"/>
      <c r="I12" s="146"/>
      <c r="J12" s="146"/>
      <c r="K12" s="146"/>
      <c r="L12" s="146"/>
      <c r="M12" s="146"/>
      <c r="N12" s="146"/>
      <c r="O12" s="146"/>
      <c r="P12" s="146"/>
    </row>
    <row r="13" spans="8:16" hidden="1" x14ac:dyDescent="0.25">
      <c r="H13" s="146"/>
      <c r="I13" s="146"/>
      <c r="J13" s="146"/>
      <c r="K13" s="146"/>
      <c r="L13" s="146"/>
      <c r="M13" s="146"/>
      <c r="N13" s="146"/>
      <c r="O13" s="146"/>
      <c r="P13" s="146"/>
    </row>
    <row r="14" spans="8:16" hidden="1" x14ac:dyDescent="0.25">
      <c r="H14" s="146"/>
      <c r="I14" s="146"/>
      <c r="J14" s="146"/>
      <c r="K14" s="146"/>
      <c r="L14" s="146"/>
      <c r="M14" s="146"/>
      <c r="N14" s="146"/>
      <c r="O14" s="146"/>
      <c r="P14" s="146"/>
    </row>
    <row r="15" spans="8:16" x14ac:dyDescent="0.25">
      <c r="H15" s="146"/>
      <c r="I15" s="146"/>
      <c r="J15" s="146"/>
      <c r="K15" s="146"/>
      <c r="L15" s="146"/>
      <c r="M15" s="146"/>
      <c r="N15" s="146"/>
      <c r="O15" s="146"/>
      <c r="P15" s="146"/>
    </row>
    <row r="16" spans="8:16" x14ac:dyDescent="0.25">
      <c r="H16" s="146"/>
      <c r="I16" s="146"/>
      <c r="J16" s="146"/>
      <c r="K16" s="146"/>
      <c r="L16" s="146"/>
      <c r="M16" s="146"/>
      <c r="N16" s="146"/>
      <c r="O16" s="146"/>
      <c r="P16" s="146"/>
    </row>
    <row r="17" spans="2:137" x14ac:dyDescent="0.25">
      <c r="H17" s="146"/>
      <c r="I17" s="146"/>
      <c r="J17" s="146"/>
      <c r="K17" s="146"/>
      <c r="L17" s="146"/>
      <c r="M17" s="146"/>
      <c r="N17" s="146"/>
      <c r="O17" s="146"/>
      <c r="P17" s="146"/>
    </row>
    <row r="18" spans="2:137" x14ac:dyDescent="0.25">
      <c r="H18" s="146"/>
      <c r="I18" s="146"/>
      <c r="J18" s="146"/>
      <c r="K18" s="146"/>
      <c r="L18" s="146"/>
      <c r="M18" s="146"/>
      <c r="N18" s="146"/>
      <c r="O18" s="146"/>
      <c r="P18" s="146"/>
    </row>
    <row r="19" spans="2:137" ht="15.75" thickBot="1" x14ac:dyDescent="0.3"/>
    <row r="20" spans="2:137" ht="21" customHeight="1" thickBot="1" x14ac:dyDescent="0.3">
      <c r="H20" s="266" t="s">
        <v>309</v>
      </c>
      <c r="I20" s="267"/>
      <c r="J20" s="267"/>
      <c r="K20" s="267"/>
      <c r="L20" s="267"/>
      <c r="M20" s="268"/>
    </row>
    <row r="21" spans="2:137" ht="15.75" customHeight="1" thickBot="1" x14ac:dyDescent="0.3">
      <c r="H21" s="269"/>
      <c r="I21" s="270"/>
      <c r="J21" s="270"/>
      <c r="K21" s="270"/>
      <c r="L21" s="270"/>
      <c r="M21" s="271"/>
      <c r="Q21" s="231"/>
      <c r="R21" s="219" t="s">
        <v>81</v>
      </c>
      <c r="S21" s="220"/>
      <c r="T21" s="221"/>
      <c r="U21" s="219" t="s">
        <v>82</v>
      </c>
      <c r="V21" s="220"/>
      <c r="W21" s="221"/>
      <c r="X21" s="219" t="s">
        <v>83</v>
      </c>
      <c r="Y21" s="220"/>
      <c r="Z21" s="221"/>
      <c r="AA21" s="219" t="s">
        <v>84</v>
      </c>
      <c r="AB21" s="220"/>
      <c r="AC21" s="221"/>
      <c r="AD21" s="219" t="s">
        <v>85</v>
      </c>
      <c r="AE21" s="220"/>
      <c r="AF21" s="221"/>
      <c r="AG21" s="219" t="s">
        <v>86</v>
      </c>
      <c r="AH21" s="220"/>
      <c r="AI21" s="221"/>
      <c r="AJ21" s="219" t="s">
        <v>87</v>
      </c>
      <c r="AK21" s="220"/>
      <c r="AL21" s="221"/>
      <c r="AM21" s="219" t="s">
        <v>88</v>
      </c>
      <c r="AN21" s="220"/>
      <c r="AO21" s="221"/>
      <c r="AP21" s="219" t="s">
        <v>89</v>
      </c>
      <c r="AQ21" s="220"/>
      <c r="AR21" s="221"/>
      <c r="AS21" s="219" t="s">
        <v>90</v>
      </c>
      <c r="AT21" s="220"/>
      <c r="AU21" s="221"/>
      <c r="AV21" s="219" t="s">
        <v>91</v>
      </c>
      <c r="AW21" s="220"/>
      <c r="AX21" s="221"/>
      <c r="AY21" s="219" t="s">
        <v>92</v>
      </c>
      <c r="AZ21" s="220"/>
      <c r="BA21" s="221"/>
      <c r="BB21" s="219" t="s">
        <v>93</v>
      </c>
      <c r="BC21" s="220"/>
      <c r="BD21" s="221"/>
      <c r="BE21" s="219" t="s">
        <v>94</v>
      </c>
      <c r="BF21" s="220"/>
      <c r="BG21" s="221"/>
      <c r="BH21" s="219" t="s">
        <v>95</v>
      </c>
      <c r="BI21" s="220"/>
      <c r="BJ21" s="221"/>
      <c r="BK21" s="219" t="s">
        <v>96</v>
      </c>
      <c r="BL21" s="220"/>
      <c r="BM21" s="221"/>
      <c r="BN21" s="219" t="s">
        <v>97</v>
      </c>
      <c r="BO21" s="220"/>
      <c r="BP21" s="221"/>
      <c r="BQ21" s="219" t="s">
        <v>98</v>
      </c>
      <c r="BR21" s="220"/>
      <c r="BS21" s="221"/>
      <c r="BT21" s="219" t="s">
        <v>99</v>
      </c>
      <c r="BU21" s="220"/>
      <c r="BV21" s="221"/>
      <c r="BW21" s="219" t="s">
        <v>100</v>
      </c>
      <c r="BX21" s="220"/>
      <c r="BY21" s="221"/>
      <c r="BZ21" s="219" t="s">
        <v>101</v>
      </c>
      <c r="CA21" s="220"/>
      <c r="CB21" s="221"/>
      <c r="CC21" s="219" t="s">
        <v>102</v>
      </c>
      <c r="CD21" s="220"/>
      <c r="CE21" s="221"/>
      <c r="CF21" s="219" t="s">
        <v>103</v>
      </c>
      <c r="CG21" s="220"/>
      <c r="CH21" s="221"/>
      <c r="CI21" s="219" t="s">
        <v>104</v>
      </c>
      <c r="CJ21" s="220"/>
      <c r="CK21" s="221"/>
      <c r="CL21" s="219" t="s">
        <v>105</v>
      </c>
      <c r="CM21" s="220"/>
      <c r="CN21" s="221"/>
      <c r="CO21" s="219" t="s">
        <v>106</v>
      </c>
      <c r="CP21" s="220"/>
      <c r="CQ21" s="221"/>
      <c r="CR21" s="219" t="s">
        <v>107</v>
      </c>
      <c r="CS21" s="220"/>
      <c r="CT21" s="221"/>
      <c r="CU21" s="219" t="s">
        <v>108</v>
      </c>
      <c r="CV21" s="220"/>
      <c r="CW21" s="221"/>
      <c r="CX21" s="219" t="s">
        <v>109</v>
      </c>
      <c r="CY21" s="220"/>
      <c r="CZ21" s="221"/>
      <c r="DA21" s="219" t="s">
        <v>110</v>
      </c>
      <c r="DB21" s="220"/>
      <c r="DC21" s="221"/>
      <c r="DD21" s="219" t="s">
        <v>111</v>
      </c>
      <c r="DE21" s="220"/>
      <c r="DF21" s="221"/>
      <c r="DG21" s="219" t="s">
        <v>112</v>
      </c>
      <c r="DH21" s="220"/>
      <c r="DI21" s="221"/>
      <c r="DJ21" s="219" t="s">
        <v>113</v>
      </c>
      <c r="DK21" s="220"/>
      <c r="DL21" s="221"/>
      <c r="DM21" s="219" t="s">
        <v>114</v>
      </c>
      <c r="DN21" s="220"/>
      <c r="DO21" s="221"/>
      <c r="DP21" s="219" t="s">
        <v>115</v>
      </c>
      <c r="DQ21" s="220"/>
      <c r="DR21" s="221"/>
      <c r="DS21" s="219" t="s">
        <v>116</v>
      </c>
      <c r="DT21" s="220"/>
      <c r="DU21" s="221"/>
      <c r="DV21" s="219" t="s">
        <v>117</v>
      </c>
      <c r="DW21" s="220"/>
      <c r="DX21" s="221"/>
      <c r="DY21" s="219" t="s">
        <v>118</v>
      </c>
      <c r="DZ21" s="220"/>
      <c r="EA21" s="221"/>
      <c r="EB21" s="219" t="s">
        <v>119</v>
      </c>
      <c r="EC21" s="220"/>
      <c r="ED21" s="221"/>
      <c r="EE21" s="219" t="s">
        <v>120</v>
      </c>
      <c r="EF21" s="220"/>
      <c r="EG21" s="221"/>
    </row>
    <row r="22" spans="2:137" ht="16.5" thickBot="1" x14ac:dyDescent="0.3">
      <c r="H22" s="27"/>
      <c r="Q22" s="232"/>
      <c r="R22" s="28">
        <f>'Data of criteria'!D9</f>
        <v>0.7</v>
      </c>
      <c r="S22" s="29">
        <f>'Data of criteria'!D10</f>
        <v>0.9</v>
      </c>
      <c r="T22" s="30">
        <f>'Data of criteria'!D11</f>
        <v>1</v>
      </c>
      <c r="U22" s="28">
        <f>'Data of criteria'!D14</f>
        <v>0.5</v>
      </c>
      <c r="V22" s="29">
        <f>'Data of criteria'!D15</f>
        <v>0.7</v>
      </c>
      <c r="W22" s="30">
        <f>'Data of criteria'!D16</f>
        <v>0.9</v>
      </c>
      <c r="X22" s="28">
        <f>'Data of criteria'!D19</f>
        <v>0.9</v>
      </c>
      <c r="Y22" s="29">
        <f>'Data of criteria'!D20</f>
        <v>1</v>
      </c>
      <c r="Z22" s="30">
        <f>'Data of criteria'!D21</f>
        <v>1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48" t="s">
        <v>311</v>
      </c>
      <c r="I23" s="249"/>
      <c r="J23" s="31" t="s">
        <v>222</v>
      </c>
      <c r="K23" s="32" t="s">
        <v>0</v>
      </c>
      <c r="L23" s="33" t="s">
        <v>242</v>
      </c>
      <c r="M23" s="34" t="s">
        <v>33</v>
      </c>
      <c r="Q23" s="233"/>
      <c r="R23" s="237" t="s">
        <v>20</v>
      </c>
      <c r="S23" s="238"/>
      <c r="T23" s="239"/>
      <c r="U23" s="237" t="s">
        <v>21</v>
      </c>
      <c r="V23" s="238"/>
      <c r="W23" s="239"/>
      <c r="X23" s="237" t="s">
        <v>22</v>
      </c>
      <c r="Y23" s="238"/>
      <c r="Z23" s="239"/>
      <c r="AA23" s="237" t="s">
        <v>23</v>
      </c>
      <c r="AB23" s="238"/>
      <c r="AC23" s="239"/>
      <c r="AD23" s="237" t="s">
        <v>24</v>
      </c>
      <c r="AE23" s="238"/>
      <c r="AF23" s="239"/>
      <c r="AG23" s="237" t="s">
        <v>25</v>
      </c>
      <c r="AH23" s="238"/>
      <c r="AI23" s="239"/>
      <c r="AJ23" s="237" t="s">
        <v>26</v>
      </c>
      <c r="AK23" s="238"/>
      <c r="AL23" s="239"/>
      <c r="AM23" s="237" t="s">
        <v>27</v>
      </c>
      <c r="AN23" s="238"/>
      <c r="AO23" s="239"/>
      <c r="AP23" s="237" t="s">
        <v>28</v>
      </c>
      <c r="AQ23" s="238"/>
      <c r="AR23" s="239"/>
      <c r="AS23" s="237" t="s">
        <v>29</v>
      </c>
      <c r="AT23" s="238"/>
      <c r="AU23" s="239"/>
      <c r="AV23" s="237" t="s">
        <v>30</v>
      </c>
      <c r="AW23" s="238"/>
      <c r="AX23" s="239"/>
      <c r="AY23" s="237" t="s">
        <v>31</v>
      </c>
      <c r="AZ23" s="238"/>
      <c r="BA23" s="239"/>
      <c r="BB23" s="237" t="s">
        <v>53</v>
      </c>
      <c r="BC23" s="238"/>
      <c r="BD23" s="239"/>
      <c r="BE23" s="237" t="s">
        <v>54</v>
      </c>
      <c r="BF23" s="238"/>
      <c r="BG23" s="239"/>
      <c r="BH23" s="237" t="s">
        <v>55</v>
      </c>
      <c r="BI23" s="238"/>
      <c r="BJ23" s="239"/>
      <c r="BK23" s="237" t="s">
        <v>56</v>
      </c>
      <c r="BL23" s="238"/>
      <c r="BM23" s="239"/>
      <c r="BN23" s="237" t="s">
        <v>57</v>
      </c>
      <c r="BO23" s="238"/>
      <c r="BP23" s="239"/>
      <c r="BQ23" s="237" t="s">
        <v>58</v>
      </c>
      <c r="BR23" s="238"/>
      <c r="BS23" s="239"/>
      <c r="BT23" s="237" t="s">
        <v>59</v>
      </c>
      <c r="BU23" s="238"/>
      <c r="BV23" s="239"/>
      <c r="BW23" s="237" t="s">
        <v>60</v>
      </c>
      <c r="BX23" s="238"/>
      <c r="BY23" s="239"/>
      <c r="BZ23" s="237" t="s">
        <v>61</v>
      </c>
      <c r="CA23" s="238"/>
      <c r="CB23" s="239"/>
      <c r="CC23" s="237" t="s">
        <v>62</v>
      </c>
      <c r="CD23" s="238"/>
      <c r="CE23" s="239"/>
      <c r="CF23" s="237" t="s">
        <v>63</v>
      </c>
      <c r="CG23" s="238"/>
      <c r="CH23" s="239"/>
      <c r="CI23" s="237" t="s">
        <v>64</v>
      </c>
      <c r="CJ23" s="238"/>
      <c r="CK23" s="239"/>
      <c r="CL23" s="237" t="s">
        <v>65</v>
      </c>
      <c r="CM23" s="238"/>
      <c r="CN23" s="239"/>
      <c r="CO23" s="237" t="s">
        <v>66</v>
      </c>
      <c r="CP23" s="238"/>
      <c r="CQ23" s="239"/>
      <c r="CR23" s="237" t="s">
        <v>67</v>
      </c>
      <c r="CS23" s="238"/>
      <c r="CT23" s="239"/>
      <c r="CU23" s="237" t="s">
        <v>68</v>
      </c>
      <c r="CV23" s="238"/>
      <c r="CW23" s="239"/>
      <c r="CX23" s="237" t="s">
        <v>69</v>
      </c>
      <c r="CY23" s="238"/>
      <c r="CZ23" s="239"/>
      <c r="DA23" s="237" t="s">
        <v>70</v>
      </c>
      <c r="DB23" s="238"/>
      <c r="DC23" s="239"/>
      <c r="DD23" s="237" t="s">
        <v>71</v>
      </c>
      <c r="DE23" s="238"/>
      <c r="DF23" s="239"/>
      <c r="DG23" s="237" t="s">
        <v>72</v>
      </c>
      <c r="DH23" s="238"/>
      <c r="DI23" s="239"/>
      <c r="DJ23" s="237" t="s">
        <v>73</v>
      </c>
      <c r="DK23" s="238"/>
      <c r="DL23" s="239"/>
      <c r="DM23" s="237" t="s">
        <v>74</v>
      </c>
      <c r="DN23" s="238"/>
      <c r="DO23" s="239"/>
      <c r="DP23" s="237" t="s">
        <v>75</v>
      </c>
      <c r="DQ23" s="238"/>
      <c r="DR23" s="239"/>
      <c r="DS23" s="237" t="s">
        <v>76</v>
      </c>
      <c r="DT23" s="238"/>
      <c r="DU23" s="239"/>
      <c r="DV23" s="237" t="s">
        <v>77</v>
      </c>
      <c r="DW23" s="238"/>
      <c r="DX23" s="239"/>
      <c r="DY23" s="237" t="s">
        <v>78</v>
      </c>
      <c r="DZ23" s="238"/>
      <c r="EA23" s="239"/>
      <c r="EB23" s="237" t="s">
        <v>79</v>
      </c>
      <c r="EC23" s="238"/>
      <c r="ED23" s="239"/>
      <c r="EE23" s="237" t="s">
        <v>80</v>
      </c>
      <c r="EF23" s="238"/>
      <c r="EG23" s="239"/>
    </row>
    <row r="24" spans="2:137" ht="16.5" thickBot="1" x14ac:dyDescent="0.3">
      <c r="H24" s="250"/>
      <c r="I24" s="251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8.5</v>
      </c>
      <c r="S24" s="39">
        <f>'Integration of 1th to 20th'!AB5</f>
        <v>9.75</v>
      </c>
      <c r="T24" s="40">
        <f>'Integration of 1th to 20th'!AC5</f>
        <v>10</v>
      </c>
      <c r="U24" s="38">
        <f>'Integration of 1th to 20th'!BA5</f>
        <v>6</v>
      </c>
      <c r="V24" s="39">
        <f>'Integration of 1th to 20th'!BB5</f>
        <v>8</v>
      </c>
      <c r="W24" s="40">
        <f>'Integration of 1th to 20th'!BC5</f>
        <v>9.5</v>
      </c>
      <c r="X24" s="38">
        <f>'Integration of 1th to 20th'!CA5</f>
        <v>6.5</v>
      </c>
      <c r="Y24" s="39">
        <f>'Integration of 1th to 20th'!CB5</f>
        <v>8.5</v>
      </c>
      <c r="Z24" s="40">
        <f>'Integration of 1th to 20th'!CC5</f>
        <v>9.75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3" t="s">
        <v>327</v>
      </c>
      <c r="C25" s="144" t="s">
        <v>334</v>
      </c>
      <c r="D25" s="145" t="s">
        <v>327</v>
      </c>
      <c r="E25" s="144" t="s">
        <v>334</v>
      </c>
      <c r="H25" s="250"/>
      <c r="I25" s="251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6.5</v>
      </c>
      <c r="S25" s="39">
        <f>'Integration of 1th to 20th'!AB6</f>
        <v>8.5</v>
      </c>
      <c r="T25" s="40">
        <f>'Integration of 1th to 20th'!AC6</f>
        <v>9.75</v>
      </c>
      <c r="U25" s="38">
        <f>'Integration of 1th to 20th'!BA6</f>
        <v>6</v>
      </c>
      <c r="V25" s="39">
        <f>'Integration of 1th to 20th'!BB6</f>
        <v>8</v>
      </c>
      <c r="W25" s="40">
        <f>'Integration of 1th to 20th'!BC6</f>
        <v>9.5</v>
      </c>
      <c r="X25" s="38">
        <f>'Integration of 1th to 20th'!CA6</f>
        <v>6.5</v>
      </c>
      <c r="Y25" s="39">
        <f>'Integration of 1th to 20th'!CB6</f>
        <v>8.5</v>
      </c>
      <c r="Z25" s="40">
        <f>'Integration of 1th to 20th'!CC6</f>
        <v>9.75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50"/>
      <c r="I26" s="251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0</v>
      </c>
      <c r="S26" s="39">
        <f>'Integration of 1th to 20th'!AB7</f>
        <v>0</v>
      </c>
      <c r="T26" s="40">
        <f>'Integration of 1th to 20th'!AC7</f>
        <v>0</v>
      </c>
      <c r="U26" s="38">
        <f>'Integration of 1th to 20th'!BA7</f>
        <v>0</v>
      </c>
      <c r="V26" s="39">
        <f>'Integration of 1th to 20th'!BB7</f>
        <v>0</v>
      </c>
      <c r="W26" s="40">
        <f>'Integration of 1th to 20th'!BC7</f>
        <v>0</v>
      </c>
      <c r="X26" s="38">
        <f>'Integration of 1th to 20th'!CA7</f>
        <v>0</v>
      </c>
      <c r="Y26" s="39">
        <f>'Integration of 1th to 20th'!CB7</f>
        <v>0</v>
      </c>
      <c r="Z26" s="40">
        <f>'Integration of 1th to 20th'!CC7</f>
        <v>0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-1</v>
      </c>
      <c r="D27" s="29" t="s">
        <v>387</v>
      </c>
      <c r="E27" s="30">
        <f>'Data of criteria'!S14</f>
        <v>0</v>
      </c>
      <c r="H27" s="250"/>
      <c r="I27" s="251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1</v>
      </c>
      <c r="D28" s="29" t="s">
        <v>388</v>
      </c>
      <c r="E28" s="30">
        <f>'Data of criteria'!S19</f>
        <v>0</v>
      </c>
      <c r="H28" s="250"/>
      <c r="I28" s="251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50"/>
      <c r="I29" s="251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50"/>
      <c r="I30" s="251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50"/>
      <c r="I31" s="251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50"/>
      <c r="I32" s="251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50"/>
      <c r="I33" s="251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50"/>
      <c r="I34" s="251"/>
      <c r="J34" s="29" t="s">
        <v>233</v>
      </c>
      <c r="K34" s="35" t="s">
        <v>11</v>
      </c>
      <c r="L34" s="28" t="s">
        <v>253</v>
      </c>
      <c r="M34" s="36" t="s">
        <v>44</v>
      </c>
      <c r="O34" s="254" t="s">
        <v>313</v>
      </c>
      <c r="P34" s="255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50"/>
      <c r="I35" s="251"/>
      <c r="J35" s="29" t="s">
        <v>234</v>
      </c>
      <c r="K35" s="35" t="s">
        <v>12</v>
      </c>
      <c r="L35" s="28" t="s">
        <v>254</v>
      </c>
      <c r="M35" s="36" t="s">
        <v>45</v>
      </c>
      <c r="O35" s="256"/>
      <c r="P35" s="257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50"/>
      <c r="I36" s="251"/>
      <c r="J36" s="29" t="s">
        <v>235</v>
      </c>
      <c r="K36" s="35" t="s">
        <v>13</v>
      </c>
      <c r="L36" s="28" t="s">
        <v>255</v>
      </c>
      <c r="M36" s="36" t="s">
        <v>46</v>
      </c>
      <c r="O36" s="256"/>
      <c r="P36" s="257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50"/>
      <c r="I37" s="251"/>
      <c r="J37" s="29" t="s">
        <v>236</v>
      </c>
      <c r="K37" s="35" t="s">
        <v>14</v>
      </c>
      <c r="L37" s="28" t="s">
        <v>256</v>
      </c>
      <c r="M37" s="36" t="s">
        <v>47</v>
      </c>
      <c r="O37" s="256"/>
      <c r="P37" s="257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50"/>
      <c r="I38" s="251"/>
      <c r="J38" s="29" t="s">
        <v>237</v>
      </c>
      <c r="K38" s="35" t="s">
        <v>15</v>
      </c>
      <c r="L38" s="28" t="s">
        <v>257</v>
      </c>
      <c r="M38" s="36" t="s">
        <v>48</v>
      </c>
      <c r="O38" s="256"/>
      <c r="P38" s="257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50"/>
      <c r="I39" s="251"/>
      <c r="J39" s="29" t="s">
        <v>238</v>
      </c>
      <c r="K39" s="35" t="s">
        <v>16</v>
      </c>
      <c r="L39" s="28" t="s">
        <v>258</v>
      </c>
      <c r="M39" s="36" t="s">
        <v>49</v>
      </c>
      <c r="O39" s="256"/>
      <c r="P39" s="257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50"/>
      <c r="I40" s="251"/>
      <c r="J40" s="29" t="s">
        <v>239</v>
      </c>
      <c r="K40" s="35" t="s">
        <v>17</v>
      </c>
      <c r="L40" s="28" t="s">
        <v>259</v>
      </c>
      <c r="M40" s="36" t="s">
        <v>50</v>
      </c>
      <c r="O40" s="256"/>
      <c r="P40" s="257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50"/>
      <c r="I41" s="251"/>
      <c r="J41" s="29" t="s">
        <v>240</v>
      </c>
      <c r="K41" s="35" t="s">
        <v>18</v>
      </c>
      <c r="L41" s="28" t="s">
        <v>260</v>
      </c>
      <c r="M41" s="36" t="s">
        <v>51</v>
      </c>
      <c r="O41" s="256"/>
      <c r="P41" s="257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52"/>
      <c r="I42" s="253"/>
      <c r="J42" s="44" t="s">
        <v>241</v>
      </c>
      <c r="K42" s="45" t="s">
        <v>19</v>
      </c>
      <c r="L42" s="46" t="s">
        <v>261</v>
      </c>
      <c r="M42" s="47" t="s">
        <v>52</v>
      </c>
      <c r="O42" s="256"/>
      <c r="P42" s="257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256"/>
      <c r="P43" s="257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60" t="s">
        <v>310</v>
      </c>
      <c r="I44" s="261"/>
      <c r="J44" s="31" t="s">
        <v>269</v>
      </c>
      <c r="K44" s="32" t="s">
        <v>20</v>
      </c>
      <c r="L44" s="48" t="s">
        <v>289</v>
      </c>
      <c r="M44" s="49" t="s">
        <v>61</v>
      </c>
      <c r="O44" s="256"/>
      <c r="P44" s="257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62"/>
      <c r="I45" s="263"/>
      <c r="J45" s="29" t="s">
        <v>270</v>
      </c>
      <c r="K45" s="35" t="s">
        <v>21</v>
      </c>
      <c r="L45" s="43" t="s">
        <v>290</v>
      </c>
      <c r="M45" s="51" t="s">
        <v>62</v>
      </c>
      <c r="O45" s="256"/>
      <c r="P45" s="257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62"/>
      <c r="I46" s="263"/>
      <c r="J46" s="29" t="s">
        <v>271</v>
      </c>
      <c r="K46" s="35" t="s">
        <v>22</v>
      </c>
      <c r="L46" s="43" t="s">
        <v>291</v>
      </c>
      <c r="M46" s="51" t="s">
        <v>63</v>
      </c>
      <c r="O46" s="256"/>
      <c r="P46" s="257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62"/>
      <c r="I47" s="263"/>
      <c r="J47" s="29" t="s">
        <v>272</v>
      </c>
      <c r="K47" s="35" t="s">
        <v>23</v>
      </c>
      <c r="L47" s="43" t="s">
        <v>292</v>
      </c>
      <c r="M47" s="51" t="s">
        <v>64</v>
      </c>
      <c r="O47" s="256"/>
      <c r="P47" s="257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62"/>
      <c r="I48" s="263"/>
      <c r="J48" s="29" t="s">
        <v>273</v>
      </c>
      <c r="K48" s="35" t="s">
        <v>24</v>
      </c>
      <c r="L48" s="43" t="s">
        <v>293</v>
      </c>
      <c r="M48" s="51" t="s">
        <v>65</v>
      </c>
      <c r="O48" s="256"/>
      <c r="P48" s="257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40" t="s">
        <v>406</v>
      </c>
      <c r="C49" s="241"/>
      <c r="D49" s="242"/>
      <c r="E49" s="246">
        <f>'Data of criteria'!L3</f>
        <v>2</v>
      </c>
      <c r="H49" s="262"/>
      <c r="I49" s="263"/>
      <c r="J49" s="29" t="s">
        <v>274</v>
      </c>
      <c r="K49" s="35" t="s">
        <v>25</v>
      </c>
      <c r="L49" s="43" t="s">
        <v>294</v>
      </c>
      <c r="M49" s="51" t="s">
        <v>66</v>
      </c>
      <c r="O49" s="256"/>
      <c r="P49" s="257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43"/>
      <c r="C50" s="244"/>
      <c r="D50" s="245"/>
      <c r="E50" s="247"/>
      <c r="H50" s="262"/>
      <c r="I50" s="263"/>
      <c r="J50" s="29" t="s">
        <v>275</v>
      </c>
      <c r="K50" s="35" t="s">
        <v>26</v>
      </c>
      <c r="L50" s="43" t="s">
        <v>295</v>
      </c>
      <c r="M50" s="51" t="s">
        <v>67</v>
      </c>
      <c r="O50" s="256"/>
      <c r="P50" s="257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62"/>
      <c r="I51" s="263"/>
      <c r="J51" s="29" t="s">
        <v>276</v>
      </c>
      <c r="K51" s="35" t="s">
        <v>27</v>
      </c>
      <c r="L51" s="43" t="s">
        <v>296</v>
      </c>
      <c r="M51" s="51" t="s">
        <v>68</v>
      </c>
      <c r="O51" s="256"/>
      <c r="P51" s="257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62"/>
      <c r="I52" s="263"/>
      <c r="J52" s="29" t="s">
        <v>277</v>
      </c>
      <c r="K52" s="35" t="s">
        <v>28</v>
      </c>
      <c r="L52" s="43" t="s">
        <v>297</v>
      </c>
      <c r="M52" s="51" t="s">
        <v>69</v>
      </c>
      <c r="O52" s="256"/>
      <c r="P52" s="257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62"/>
      <c r="I53" s="263"/>
      <c r="J53" s="29" t="s">
        <v>278</v>
      </c>
      <c r="K53" s="35" t="s">
        <v>29</v>
      </c>
      <c r="L53" s="43" t="s">
        <v>298</v>
      </c>
      <c r="M53" s="51" t="s">
        <v>70</v>
      </c>
      <c r="O53" s="258"/>
      <c r="P53" s="259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62"/>
      <c r="I54" s="263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62"/>
      <c r="I55" s="263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62"/>
      <c r="I56" s="263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62"/>
      <c r="I57" s="263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62"/>
      <c r="I58" s="263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62"/>
      <c r="I59" s="263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62"/>
      <c r="I60" s="263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62"/>
      <c r="I61" s="263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62"/>
      <c r="I62" s="263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62"/>
      <c r="I63" s="263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62"/>
      <c r="I64" s="263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64"/>
      <c r="I65" s="265"/>
      <c r="J65" s="44" t="s">
        <v>312</v>
      </c>
      <c r="K65" s="59" t="s">
        <v>32</v>
      </c>
      <c r="L65" s="60"/>
      <c r="M65" s="61"/>
      <c r="N65" s="26"/>
      <c r="O65" s="272" t="s">
        <v>121</v>
      </c>
      <c r="P65" s="272"/>
      <c r="Q65" s="272"/>
      <c r="R65" s="15">
        <f>40-$E$49</f>
        <v>38</v>
      </c>
      <c r="S65" s="15">
        <f t="shared" ref="S65:CD65" si="0">40-$E$49</f>
        <v>38</v>
      </c>
      <c r="T65" s="15">
        <f t="shared" si="0"/>
        <v>38</v>
      </c>
      <c r="U65" s="15">
        <f t="shared" si="0"/>
        <v>38</v>
      </c>
      <c r="V65" s="15">
        <f t="shared" si="0"/>
        <v>38</v>
      </c>
      <c r="W65" s="15">
        <f t="shared" si="0"/>
        <v>38</v>
      </c>
      <c r="X65" s="15">
        <f t="shared" si="0"/>
        <v>38</v>
      </c>
      <c r="Y65" s="15">
        <f t="shared" si="0"/>
        <v>38</v>
      </c>
      <c r="Z65" s="15">
        <f t="shared" si="0"/>
        <v>38</v>
      </c>
      <c r="AA65" s="15">
        <f t="shared" si="0"/>
        <v>38</v>
      </c>
      <c r="AB65" s="15">
        <f t="shared" si="0"/>
        <v>38</v>
      </c>
      <c r="AC65" s="15">
        <f t="shared" si="0"/>
        <v>38</v>
      </c>
      <c r="AD65" s="15">
        <f t="shared" si="0"/>
        <v>38</v>
      </c>
      <c r="AE65" s="15">
        <f t="shared" si="0"/>
        <v>38</v>
      </c>
      <c r="AF65" s="15">
        <f t="shared" si="0"/>
        <v>38</v>
      </c>
      <c r="AG65" s="15">
        <f t="shared" si="0"/>
        <v>38</v>
      </c>
      <c r="AH65" s="15">
        <f t="shared" si="0"/>
        <v>38</v>
      </c>
      <c r="AI65" s="15">
        <f t="shared" si="0"/>
        <v>38</v>
      </c>
      <c r="AJ65" s="15">
        <f t="shared" si="0"/>
        <v>38</v>
      </c>
      <c r="AK65" s="15">
        <f t="shared" si="0"/>
        <v>38</v>
      </c>
      <c r="AL65" s="15">
        <f t="shared" si="0"/>
        <v>38</v>
      </c>
      <c r="AM65" s="15">
        <f t="shared" si="0"/>
        <v>38</v>
      </c>
      <c r="AN65" s="15">
        <f t="shared" si="0"/>
        <v>38</v>
      </c>
      <c r="AO65" s="15">
        <f t="shared" si="0"/>
        <v>38</v>
      </c>
      <c r="AP65" s="15">
        <f t="shared" si="0"/>
        <v>38</v>
      </c>
      <c r="AQ65" s="15">
        <f t="shared" si="0"/>
        <v>38</v>
      </c>
      <c r="AR65" s="15">
        <f t="shared" si="0"/>
        <v>38</v>
      </c>
      <c r="AS65" s="15">
        <f t="shared" si="0"/>
        <v>38</v>
      </c>
      <c r="AT65" s="15">
        <f t="shared" si="0"/>
        <v>38</v>
      </c>
      <c r="AU65" s="15">
        <f t="shared" si="0"/>
        <v>38</v>
      </c>
      <c r="AV65" s="15">
        <f t="shared" si="0"/>
        <v>38</v>
      </c>
      <c r="AW65" s="15">
        <f t="shared" si="0"/>
        <v>38</v>
      </c>
      <c r="AX65" s="15">
        <f t="shared" si="0"/>
        <v>38</v>
      </c>
      <c r="AY65" s="15">
        <f t="shared" si="0"/>
        <v>38</v>
      </c>
      <c r="AZ65" s="15">
        <f t="shared" si="0"/>
        <v>38</v>
      </c>
      <c r="BA65" s="15">
        <f t="shared" si="0"/>
        <v>38</v>
      </c>
      <c r="BB65" s="15">
        <f t="shared" si="0"/>
        <v>38</v>
      </c>
      <c r="BC65" s="15">
        <f t="shared" si="0"/>
        <v>38</v>
      </c>
      <c r="BD65" s="15">
        <f t="shared" si="0"/>
        <v>38</v>
      </c>
      <c r="BE65" s="15">
        <f t="shared" si="0"/>
        <v>38</v>
      </c>
      <c r="BF65" s="15">
        <f t="shared" si="0"/>
        <v>38</v>
      </c>
      <c r="BG65" s="15">
        <f t="shared" si="0"/>
        <v>38</v>
      </c>
      <c r="BH65" s="15">
        <f t="shared" si="0"/>
        <v>38</v>
      </c>
      <c r="BI65" s="15">
        <f t="shared" si="0"/>
        <v>38</v>
      </c>
      <c r="BJ65" s="15">
        <f t="shared" si="0"/>
        <v>38</v>
      </c>
      <c r="BK65" s="15">
        <f t="shared" si="0"/>
        <v>38</v>
      </c>
      <c r="BL65" s="15">
        <f t="shared" si="0"/>
        <v>38</v>
      </c>
      <c r="BM65" s="15">
        <f t="shared" si="0"/>
        <v>38</v>
      </c>
      <c r="BN65" s="15">
        <f t="shared" si="0"/>
        <v>38</v>
      </c>
      <c r="BO65" s="15">
        <f t="shared" si="0"/>
        <v>38</v>
      </c>
      <c r="BP65" s="15">
        <f t="shared" si="0"/>
        <v>38</v>
      </c>
      <c r="BQ65" s="15">
        <f t="shared" si="0"/>
        <v>38</v>
      </c>
      <c r="BR65" s="15">
        <f t="shared" si="0"/>
        <v>38</v>
      </c>
      <c r="BS65" s="15">
        <f t="shared" si="0"/>
        <v>38</v>
      </c>
      <c r="BT65" s="15">
        <f t="shared" si="0"/>
        <v>38</v>
      </c>
      <c r="BU65" s="15">
        <f t="shared" si="0"/>
        <v>38</v>
      </c>
      <c r="BV65" s="15">
        <f t="shared" si="0"/>
        <v>38</v>
      </c>
      <c r="BW65" s="15">
        <f t="shared" si="0"/>
        <v>38</v>
      </c>
      <c r="BX65" s="15">
        <f t="shared" si="0"/>
        <v>38</v>
      </c>
      <c r="BY65" s="15">
        <f t="shared" si="0"/>
        <v>38</v>
      </c>
      <c r="BZ65" s="15">
        <f t="shared" si="0"/>
        <v>38</v>
      </c>
      <c r="CA65" s="15">
        <f t="shared" si="0"/>
        <v>38</v>
      </c>
      <c r="CB65" s="15">
        <f t="shared" si="0"/>
        <v>38</v>
      </c>
      <c r="CC65" s="15">
        <f t="shared" si="0"/>
        <v>38</v>
      </c>
      <c r="CD65" s="15">
        <f t="shared" si="0"/>
        <v>38</v>
      </c>
      <c r="CE65" s="15">
        <f t="shared" ref="CE65:EG65" si="1">40-$E$49</f>
        <v>38</v>
      </c>
      <c r="CF65" s="15">
        <f t="shared" si="1"/>
        <v>38</v>
      </c>
      <c r="CG65" s="15">
        <f t="shared" si="1"/>
        <v>38</v>
      </c>
      <c r="CH65" s="15">
        <f t="shared" si="1"/>
        <v>38</v>
      </c>
      <c r="CI65" s="15">
        <f t="shared" si="1"/>
        <v>38</v>
      </c>
      <c r="CJ65" s="15">
        <f t="shared" si="1"/>
        <v>38</v>
      </c>
      <c r="CK65" s="15">
        <f t="shared" si="1"/>
        <v>38</v>
      </c>
      <c r="CL65" s="15">
        <f t="shared" si="1"/>
        <v>38</v>
      </c>
      <c r="CM65" s="15">
        <f t="shared" si="1"/>
        <v>38</v>
      </c>
      <c r="CN65" s="15">
        <f t="shared" si="1"/>
        <v>38</v>
      </c>
      <c r="CO65" s="15">
        <f t="shared" si="1"/>
        <v>38</v>
      </c>
      <c r="CP65" s="15">
        <f t="shared" si="1"/>
        <v>38</v>
      </c>
      <c r="CQ65" s="15">
        <f t="shared" si="1"/>
        <v>38</v>
      </c>
      <c r="CR65" s="15">
        <f t="shared" si="1"/>
        <v>38</v>
      </c>
      <c r="CS65" s="15">
        <f t="shared" si="1"/>
        <v>38</v>
      </c>
      <c r="CT65" s="15">
        <f t="shared" si="1"/>
        <v>38</v>
      </c>
      <c r="CU65" s="15">
        <f t="shared" si="1"/>
        <v>38</v>
      </c>
      <c r="CV65" s="15">
        <f t="shared" si="1"/>
        <v>38</v>
      </c>
      <c r="CW65" s="15">
        <f t="shared" si="1"/>
        <v>38</v>
      </c>
      <c r="CX65" s="15">
        <f t="shared" si="1"/>
        <v>38</v>
      </c>
      <c r="CY65" s="15">
        <f t="shared" si="1"/>
        <v>38</v>
      </c>
      <c r="CZ65" s="15">
        <f t="shared" si="1"/>
        <v>38</v>
      </c>
      <c r="DA65" s="15">
        <f t="shared" si="1"/>
        <v>38</v>
      </c>
      <c r="DB65" s="15">
        <f t="shared" si="1"/>
        <v>38</v>
      </c>
      <c r="DC65" s="15">
        <f t="shared" si="1"/>
        <v>38</v>
      </c>
      <c r="DD65" s="15">
        <f t="shared" si="1"/>
        <v>38</v>
      </c>
      <c r="DE65" s="15">
        <f t="shared" si="1"/>
        <v>38</v>
      </c>
      <c r="DF65" s="15">
        <f t="shared" si="1"/>
        <v>38</v>
      </c>
      <c r="DG65" s="15">
        <f t="shared" si="1"/>
        <v>38</v>
      </c>
      <c r="DH65" s="15">
        <f t="shared" si="1"/>
        <v>38</v>
      </c>
      <c r="DI65" s="15">
        <f t="shared" si="1"/>
        <v>38</v>
      </c>
      <c r="DJ65" s="15">
        <f t="shared" si="1"/>
        <v>38</v>
      </c>
      <c r="DK65" s="15">
        <f t="shared" si="1"/>
        <v>38</v>
      </c>
      <c r="DL65" s="15">
        <f t="shared" si="1"/>
        <v>38</v>
      </c>
      <c r="DM65" s="15">
        <f t="shared" si="1"/>
        <v>38</v>
      </c>
      <c r="DN65" s="15">
        <f t="shared" si="1"/>
        <v>38</v>
      </c>
      <c r="DO65" s="15">
        <f t="shared" si="1"/>
        <v>38</v>
      </c>
      <c r="DP65" s="15">
        <f t="shared" si="1"/>
        <v>38</v>
      </c>
      <c r="DQ65" s="15">
        <f t="shared" si="1"/>
        <v>38</v>
      </c>
      <c r="DR65" s="15">
        <f t="shared" si="1"/>
        <v>38</v>
      </c>
      <c r="DS65" s="15">
        <f t="shared" si="1"/>
        <v>38</v>
      </c>
      <c r="DT65" s="15">
        <f t="shared" si="1"/>
        <v>38</v>
      </c>
      <c r="DU65" s="15">
        <f t="shared" si="1"/>
        <v>38</v>
      </c>
      <c r="DV65" s="15">
        <f t="shared" si="1"/>
        <v>38</v>
      </c>
      <c r="DW65" s="15">
        <f t="shared" si="1"/>
        <v>38</v>
      </c>
      <c r="DX65" s="15">
        <f t="shared" si="1"/>
        <v>38</v>
      </c>
      <c r="DY65" s="15">
        <f t="shared" si="1"/>
        <v>38</v>
      </c>
      <c r="DZ65" s="15">
        <f t="shared" si="1"/>
        <v>38</v>
      </c>
      <c r="EA65" s="15">
        <f t="shared" si="1"/>
        <v>38</v>
      </c>
      <c r="EB65" s="15">
        <f t="shared" si="1"/>
        <v>38</v>
      </c>
      <c r="EC65" s="15">
        <f t="shared" si="1"/>
        <v>38</v>
      </c>
      <c r="ED65" s="15">
        <f t="shared" si="1"/>
        <v>38</v>
      </c>
      <c r="EE65" s="15">
        <f t="shared" si="1"/>
        <v>38</v>
      </c>
      <c r="EF65" s="15">
        <f t="shared" si="1"/>
        <v>38</v>
      </c>
      <c r="EG65" s="15">
        <f t="shared" si="1"/>
        <v>38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10</v>
      </c>
      <c r="U66" s="75"/>
      <c r="V66" s="63"/>
      <c r="W66" s="64">
        <f t="shared" si="2"/>
        <v>9.5</v>
      </c>
      <c r="X66" s="75"/>
      <c r="Y66" s="63"/>
      <c r="Z66" s="64">
        <f t="shared" si="2"/>
        <v>9.75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6.5</v>
      </c>
      <c r="S67" s="54"/>
      <c r="T67" s="55"/>
      <c r="U67" s="53">
        <f t="shared" ref="U67:CC67" si="4">SMALL(U24:U63,U65+1)</f>
        <v>6</v>
      </c>
      <c r="V67" s="54"/>
      <c r="W67" s="55"/>
      <c r="X67" s="53">
        <f t="shared" si="4"/>
        <v>6.5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31"/>
      <c r="R70" s="219" t="s">
        <v>81</v>
      </c>
      <c r="S70" s="220"/>
      <c r="T70" s="221"/>
      <c r="U70" s="219" t="s">
        <v>82</v>
      </c>
      <c r="V70" s="220"/>
      <c r="W70" s="221"/>
      <c r="X70" s="219" t="s">
        <v>83</v>
      </c>
      <c r="Y70" s="220"/>
      <c r="Z70" s="221"/>
      <c r="AA70" s="219" t="s">
        <v>84</v>
      </c>
      <c r="AB70" s="220"/>
      <c r="AC70" s="221"/>
      <c r="AD70" s="219" t="s">
        <v>85</v>
      </c>
      <c r="AE70" s="220"/>
      <c r="AF70" s="221"/>
      <c r="AG70" s="219" t="s">
        <v>86</v>
      </c>
      <c r="AH70" s="220"/>
      <c r="AI70" s="221"/>
      <c r="AJ70" s="219" t="s">
        <v>87</v>
      </c>
      <c r="AK70" s="220"/>
      <c r="AL70" s="221"/>
      <c r="AM70" s="219" t="s">
        <v>88</v>
      </c>
      <c r="AN70" s="220"/>
      <c r="AO70" s="221"/>
      <c r="AP70" s="219" t="s">
        <v>89</v>
      </c>
      <c r="AQ70" s="220"/>
      <c r="AR70" s="221"/>
      <c r="AS70" s="219" t="s">
        <v>90</v>
      </c>
      <c r="AT70" s="220"/>
      <c r="AU70" s="221"/>
      <c r="AV70" s="219" t="s">
        <v>91</v>
      </c>
      <c r="AW70" s="220"/>
      <c r="AX70" s="221"/>
      <c r="AY70" s="219" t="s">
        <v>92</v>
      </c>
      <c r="AZ70" s="220"/>
      <c r="BA70" s="221"/>
      <c r="BB70" s="219" t="s">
        <v>93</v>
      </c>
      <c r="BC70" s="220"/>
      <c r="BD70" s="221"/>
      <c r="BE70" s="219" t="s">
        <v>94</v>
      </c>
      <c r="BF70" s="220"/>
      <c r="BG70" s="221"/>
      <c r="BH70" s="219" t="s">
        <v>95</v>
      </c>
      <c r="BI70" s="220"/>
      <c r="BJ70" s="221"/>
      <c r="BK70" s="219" t="s">
        <v>96</v>
      </c>
      <c r="BL70" s="220"/>
      <c r="BM70" s="221"/>
      <c r="BN70" s="219" t="s">
        <v>97</v>
      </c>
      <c r="BO70" s="220"/>
      <c r="BP70" s="221"/>
      <c r="BQ70" s="219" t="s">
        <v>98</v>
      </c>
      <c r="BR70" s="220"/>
      <c r="BS70" s="221"/>
      <c r="BT70" s="219" t="s">
        <v>99</v>
      </c>
      <c r="BU70" s="220"/>
      <c r="BV70" s="221"/>
      <c r="BW70" s="219" t="s">
        <v>100</v>
      </c>
      <c r="BX70" s="220"/>
      <c r="BY70" s="221"/>
      <c r="BZ70" s="219" t="s">
        <v>101</v>
      </c>
      <c r="CA70" s="220"/>
      <c r="CB70" s="221"/>
      <c r="CC70" s="219" t="s">
        <v>102</v>
      </c>
      <c r="CD70" s="220"/>
      <c r="CE70" s="221"/>
      <c r="CF70" s="219" t="s">
        <v>103</v>
      </c>
      <c r="CG70" s="220"/>
      <c r="CH70" s="221"/>
      <c r="CI70" s="219" t="s">
        <v>104</v>
      </c>
      <c r="CJ70" s="220"/>
      <c r="CK70" s="221"/>
      <c r="CL70" s="219" t="s">
        <v>105</v>
      </c>
      <c r="CM70" s="220"/>
      <c r="CN70" s="221"/>
      <c r="CO70" s="219" t="s">
        <v>106</v>
      </c>
      <c r="CP70" s="220"/>
      <c r="CQ70" s="221"/>
      <c r="CR70" s="219" t="s">
        <v>107</v>
      </c>
      <c r="CS70" s="220"/>
      <c r="CT70" s="221"/>
      <c r="CU70" s="219" t="s">
        <v>108</v>
      </c>
      <c r="CV70" s="220"/>
      <c r="CW70" s="221"/>
      <c r="CX70" s="219" t="s">
        <v>109</v>
      </c>
      <c r="CY70" s="220"/>
      <c r="CZ70" s="221"/>
      <c r="DA70" s="219" t="s">
        <v>110</v>
      </c>
      <c r="DB70" s="220"/>
      <c r="DC70" s="221"/>
      <c r="DD70" s="219" t="s">
        <v>111</v>
      </c>
      <c r="DE70" s="220"/>
      <c r="DF70" s="220"/>
      <c r="DG70" s="219" t="s">
        <v>112</v>
      </c>
      <c r="DH70" s="220"/>
      <c r="DI70" s="221"/>
      <c r="DJ70" s="220" t="s">
        <v>113</v>
      </c>
      <c r="DK70" s="220"/>
      <c r="DL70" s="221"/>
      <c r="DM70" s="219" t="s">
        <v>114</v>
      </c>
      <c r="DN70" s="220"/>
      <c r="DO70" s="221"/>
      <c r="DP70" s="219" t="s">
        <v>115</v>
      </c>
      <c r="DQ70" s="220"/>
      <c r="DR70" s="221"/>
      <c r="DS70" s="219" t="s">
        <v>116</v>
      </c>
      <c r="DT70" s="220"/>
      <c r="DU70" s="221"/>
      <c r="DV70" s="219" t="s">
        <v>117</v>
      </c>
      <c r="DW70" s="220"/>
      <c r="DX70" s="221"/>
      <c r="DY70" s="219" t="s">
        <v>118</v>
      </c>
      <c r="DZ70" s="220"/>
      <c r="EA70" s="221"/>
      <c r="EB70" s="219" t="s">
        <v>119</v>
      </c>
      <c r="EC70" s="220"/>
      <c r="ED70" s="221"/>
      <c r="EE70" s="219" t="s">
        <v>120</v>
      </c>
      <c r="EF70" s="220"/>
      <c r="EG70" s="221"/>
    </row>
    <row r="71" spans="1:137" ht="15.75" x14ac:dyDescent="0.25">
      <c r="Q71" s="232"/>
      <c r="R71" s="28">
        <f>R22</f>
        <v>0.7</v>
      </c>
      <c r="S71" s="29">
        <f t="shared" ref="S71:CD71" si="6">S22</f>
        <v>0.9</v>
      </c>
      <c r="T71" s="30">
        <f t="shared" si="6"/>
        <v>1</v>
      </c>
      <c r="U71" s="28">
        <f t="shared" si="6"/>
        <v>0.5</v>
      </c>
      <c r="V71" s="29">
        <f t="shared" si="6"/>
        <v>0.7</v>
      </c>
      <c r="W71" s="30">
        <f t="shared" si="6"/>
        <v>0.9</v>
      </c>
      <c r="X71" s="28">
        <f t="shared" si="6"/>
        <v>0.9</v>
      </c>
      <c r="Y71" s="29">
        <f t="shared" si="6"/>
        <v>1</v>
      </c>
      <c r="Z71" s="30">
        <f t="shared" si="6"/>
        <v>1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33"/>
      <c r="R72" s="234" t="s">
        <v>20</v>
      </c>
      <c r="S72" s="235"/>
      <c r="T72" s="236"/>
      <c r="U72" s="234" t="s">
        <v>21</v>
      </c>
      <c r="V72" s="235"/>
      <c r="W72" s="236"/>
      <c r="X72" s="234" t="s">
        <v>22</v>
      </c>
      <c r="Y72" s="235"/>
      <c r="Z72" s="236"/>
      <c r="AA72" s="234" t="s">
        <v>23</v>
      </c>
      <c r="AB72" s="235"/>
      <c r="AC72" s="236"/>
      <c r="AD72" s="234" t="s">
        <v>24</v>
      </c>
      <c r="AE72" s="235"/>
      <c r="AF72" s="236"/>
      <c r="AG72" s="234" t="s">
        <v>25</v>
      </c>
      <c r="AH72" s="235"/>
      <c r="AI72" s="236"/>
      <c r="AJ72" s="234" t="s">
        <v>26</v>
      </c>
      <c r="AK72" s="235"/>
      <c r="AL72" s="236"/>
      <c r="AM72" s="234" t="s">
        <v>27</v>
      </c>
      <c r="AN72" s="235"/>
      <c r="AO72" s="236"/>
      <c r="AP72" s="234" t="s">
        <v>28</v>
      </c>
      <c r="AQ72" s="235"/>
      <c r="AR72" s="236"/>
      <c r="AS72" s="234" t="s">
        <v>29</v>
      </c>
      <c r="AT72" s="235"/>
      <c r="AU72" s="236"/>
      <c r="AV72" s="234" t="s">
        <v>30</v>
      </c>
      <c r="AW72" s="235"/>
      <c r="AX72" s="236"/>
      <c r="AY72" s="234" t="s">
        <v>31</v>
      </c>
      <c r="AZ72" s="235"/>
      <c r="BA72" s="236"/>
      <c r="BB72" s="234" t="s">
        <v>53</v>
      </c>
      <c r="BC72" s="235"/>
      <c r="BD72" s="236"/>
      <c r="BE72" s="234" t="s">
        <v>54</v>
      </c>
      <c r="BF72" s="235"/>
      <c r="BG72" s="236"/>
      <c r="BH72" s="234" t="s">
        <v>55</v>
      </c>
      <c r="BI72" s="235"/>
      <c r="BJ72" s="236"/>
      <c r="BK72" s="234" t="s">
        <v>56</v>
      </c>
      <c r="BL72" s="235"/>
      <c r="BM72" s="236"/>
      <c r="BN72" s="234" t="s">
        <v>57</v>
      </c>
      <c r="BO72" s="235"/>
      <c r="BP72" s="236"/>
      <c r="BQ72" s="234" t="s">
        <v>58</v>
      </c>
      <c r="BR72" s="235"/>
      <c r="BS72" s="236"/>
      <c r="BT72" s="234" t="s">
        <v>59</v>
      </c>
      <c r="BU72" s="235"/>
      <c r="BV72" s="236"/>
      <c r="BW72" s="234" t="s">
        <v>60</v>
      </c>
      <c r="BX72" s="235"/>
      <c r="BY72" s="236"/>
      <c r="BZ72" s="234" t="s">
        <v>61</v>
      </c>
      <c r="CA72" s="235"/>
      <c r="CB72" s="236"/>
      <c r="CC72" s="234" t="s">
        <v>62</v>
      </c>
      <c r="CD72" s="235"/>
      <c r="CE72" s="236"/>
      <c r="CF72" s="234" t="s">
        <v>63</v>
      </c>
      <c r="CG72" s="235"/>
      <c r="CH72" s="236"/>
      <c r="CI72" s="234" t="s">
        <v>64</v>
      </c>
      <c r="CJ72" s="235"/>
      <c r="CK72" s="236"/>
      <c r="CL72" s="234" t="s">
        <v>65</v>
      </c>
      <c r="CM72" s="235"/>
      <c r="CN72" s="236"/>
      <c r="CO72" s="234" t="s">
        <v>66</v>
      </c>
      <c r="CP72" s="235"/>
      <c r="CQ72" s="236"/>
      <c r="CR72" s="234" t="s">
        <v>67</v>
      </c>
      <c r="CS72" s="235"/>
      <c r="CT72" s="236"/>
      <c r="CU72" s="234" t="s">
        <v>68</v>
      </c>
      <c r="CV72" s="235"/>
      <c r="CW72" s="236"/>
      <c r="CX72" s="234" t="s">
        <v>69</v>
      </c>
      <c r="CY72" s="235"/>
      <c r="CZ72" s="236"/>
      <c r="DA72" s="234" t="s">
        <v>70</v>
      </c>
      <c r="DB72" s="235"/>
      <c r="DC72" s="236"/>
      <c r="DD72" s="234" t="s">
        <v>71</v>
      </c>
      <c r="DE72" s="235"/>
      <c r="DF72" s="235"/>
      <c r="DG72" s="38" t="s">
        <v>72</v>
      </c>
      <c r="DH72" s="39"/>
      <c r="DI72" s="40"/>
      <c r="DJ72" s="235" t="s">
        <v>73</v>
      </c>
      <c r="DK72" s="235"/>
      <c r="DL72" s="236"/>
      <c r="DM72" s="234" t="s">
        <v>74</v>
      </c>
      <c r="DN72" s="235"/>
      <c r="DO72" s="236"/>
      <c r="DP72" s="234" t="s">
        <v>75</v>
      </c>
      <c r="DQ72" s="235"/>
      <c r="DR72" s="236"/>
      <c r="DS72" s="234" t="s">
        <v>76</v>
      </c>
      <c r="DT72" s="235"/>
      <c r="DU72" s="236"/>
      <c r="DV72" s="234" t="s">
        <v>77</v>
      </c>
      <c r="DW72" s="235"/>
      <c r="DX72" s="236"/>
      <c r="DY72" s="234" t="s">
        <v>78</v>
      </c>
      <c r="DZ72" s="235"/>
      <c r="EA72" s="236"/>
      <c r="EB72" s="234" t="s">
        <v>79</v>
      </c>
      <c r="EC72" s="235"/>
      <c r="ED72" s="236"/>
      <c r="EE72" s="234" t="s">
        <v>80</v>
      </c>
      <c r="EF72" s="235"/>
      <c r="EG72" s="236"/>
    </row>
    <row r="73" spans="1:137" ht="15.75" x14ac:dyDescent="0.25">
      <c r="Q73" s="70" t="s">
        <v>0</v>
      </c>
      <c r="R73" s="66">
        <f>IF(R24&gt;0,IF($C$26=1,R24/$T$66,IF($C$26=-1,$R$67/T24,0)),0)</f>
        <v>0.85</v>
      </c>
      <c r="S73" s="67">
        <f t="shared" ref="S73" si="8">IF(S24&gt;0,IF($C$26=1,S24/$T$66,IF($C$26=-1,$R$67/S24,0)),0)</f>
        <v>0.97499999999999998</v>
      </c>
      <c r="T73" s="68">
        <f>IF(T24&gt;0,IF($C$26=1,T24/$T$66,IF($C$26=-1,$R$67/R24,0)),0)</f>
        <v>1</v>
      </c>
      <c r="U73" s="66">
        <f>IF(U24&gt;0,IF($C$27=1,U24/$W$66,IF($C$27=-1,$U$67/W24,0)),0)</f>
        <v>0.63157894736842102</v>
      </c>
      <c r="V73" s="67">
        <f t="shared" ref="V73" si="9">IF(V24&gt;0,IF($C$27=1,V24/$W$66,IF($C$27=-1,$U$67/V24,0)),0)</f>
        <v>0.75</v>
      </c>
      <c r="W73" s="68">
        <f>IF(W24&gt;0,IF($C$27=1,W24/$W$66,IF($C$27=-1,$U$67/U24,0)),0)</f>
        <v>1</v>
      </c>
      <c r="X73" s="66">
        <f>IF(X24&gt;0,IF($C$28=1,X24/$Z$66,IF($C$28=-1,$X$67/Z24,0)),0)</f>
        <v>0.66666666666666663</v>
      </c>
      <c r="Y73" s="67">
        <f t="shared" ref="Y73" si="10">IF(Y24&gt;0,IF($C$28=1,Y24/$Z$66,IF($C$28=-1,$X$67/Y24,0)),0)</f>
        <v>0.87179487179487181</v>
      </c>
      <c r="Z73" s="68">
        <f>IF(Z24&gt;0,IF($C$28=1,Z24/$Z$66,IF($C$28=-1,$X$67/X24,0)),0)</f>
        <v>1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0.65</v>
      </c>
      <c r="S74" s="39">
        <f t="shared" ref="S74" si="48">IF(S25&gt;0,IF($C$26=1,S25/$T$66,IF($C$26=-1,$R$67/S25,0)),0)</f>
        <v>0.85</v>
      </c>
      <c r="T74" s="40">
        <f t="shared" ref="T74:T112" si="49">IF(T25&gt;0,IF($C$26=1,T25/$T$66,IF($C$26=-1,$R$67/R25,0)),0)</f>
        <v>0.97499999999999998</v>
      </c>
      <c r="U74" s="38">
        <f t="shared" ref="U74:U112" si="50">IF(U25&gt;0,IF($C$27=1,U25/$W$66,IF($C$27=-1,$U$67/W25,0)),0)</f>
        <v>0.63157894736842102</v>
      </c>
      <c r="V74" s="39">
        <f t="shared" ref="V74" si="51">IF(V25&gt;0,IF($C$27=1,V25/$W$66,IF($C$27=-1,$U$67/V25,0)),0)</f>
        <v>0.75</v>
      </c>
      <c r="W74" s="40">
        <f t="shared" ref="W74:W112" si="52">IF(W25&gt;0,IF($C$27=1,W25/$W$66,IF($C$27=-1,$U$67/U25,0)),0)</f>
        <v>1</v>
      </c>
      <c r="X74" s="38">
        <f t="shared" ref="X74:X112" si="53">IF(X25&gt;0,IF($C$28=1,X25/$Z$66,IF($C$28=-1,$X$67/Z25,0)),0)</f>
        <v>0.66666666666666663</v>
      </c>
      <c r="Y74" s="39">
        <f t="shared" ref="Y74" si="54">IF(Y25&gt;0,IF($C$28=1,Y25/$Z$66,IF($C$28=-1,$X$67/Y25,0)),0)</f>
        <v>0.87179487179487181</v>
      </c>
      <c r="Z74" s="40">
        <f t="shared" ref="Z74:Z112" si="55">IF(Z25&gt;0,IF($C$28=1,Z25/$Z$66,IF($C$28=-1,$X$67/X25,0)),0)</f>
        <v>1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</v>
      </c>
      <c r="S75" s="39">
        <f t="shared" ref="S75" si="167">IF(S26&gt;0,IF($C$26=1,S26/$T$66,IF($C$26=-1,$R$67/S26,0)),0)</f>
        <v>0</v>
      </c>
      <c r="T75" s="40">
        <f t="shared" si="49"/>
        <v>0</v>
      </c>
      <c r="U75" s="38">
        <f t="shared" si="50"/>
        <v>0</v>
      </c>
      <c r="V75" s="39">
        <f t="shared" ref="V75" si="168">IF(V26&gt;0,IF($C$27=1,V26/$W$66,IF($C$27=-1,$U$67/V26,0)),0)</f>
        <v>0</v>
      </c>
      <c r="W75" s="40">
        <f t="shared" si="52"/>
        <v>0</v>
      </c>
      <c r="X75" s="38">
        <f t="shared" si="53"/>
        <v>0</v>
      </c>
      <c r="Y75" s="39">
        <f t="shared" ref="Y75" si="169">IF(Y26&gt;0,IF($C$28=1,Y26/$Z$66,IF($C$28=-1,$X$67/Y26,0)),0)</f>
        <v>0</v>
      </c>
      <c r="Z75" s="40">
        <f t="shared" si="55"/>
        <v>0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254" t="s">
        <v>314</v>
      </c>
      <c r="P83" s="255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256"/>
      <c r="P84" s="257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256"/>
      <c r="P85" s="257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256"/>
      <c r="P86" s="257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256"/>
      <c r="P87" s="257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256"/>
      <c r="P88" s="257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256"/>
      <c r="P89" s="257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256"/>
      <c r="P90" s="257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256"/>
      <c r="P91" s="257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256"/>
      <c r="P92" s="257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256"/>
      <c r="P93" s="257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256"/>
      <c r="P94" s="257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256"/>
      <c r="P95" s="257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256"/>
      <c r="P96" s="257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256"/>
      <c r="P97" s="257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256"/>
      <c r="P98" s="257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256"/>
      <c r="P99" s="257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256"/>
      <c r="P100" s="257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256"/>
      <c r="P101" s="257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58"/>
      <c r="P102" s="259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219" t="s">
        <v>20</v>
      </c>
      <c r="S115" s="220"/>
      <c r="T115" s="221"/>
      <c r="U115" s="219" t="s">
        <v>21</v>
      </c>
      <c r="V115" s="220"/>
      <c r="W115" s="221"/>
      <c r="X115" s="219" t="s">
        <v>22</v>
      </c>
      <c r="Y115" s="220"/>
      <c r="Z115" s="221"/>
      <c r="AA115" s="219" t="s">
        <v>23</v>
      </c>
      <c r="AB115" s="220"/>
      <c r="AC115" s="221"/>
      <c r="AD115" s="219" t="s">
        <v>24</v>
      </c>
      <c r="AE115" s="220"/>
      <c r="AF115" s="221"/>
      <c r="AG115" s="219" t="s">
        <v>25</v>
      </c>
      <c r="AH115" s="220"/>
      <c r="AI115" s="221"/>
      <c r="AJ115" s="219" t="s">
        <v>26</v>
      </c>
      <c r="AK115" s="220"/>
      <c r="AL115" s="221"/>
      <c r="AM115" s="219" t="s">
        <v>27</v>
      </c>
      <c r="AN115" s="220"/>
      <c r="AO115" s="221"/>
      <c r="AP115" s="219" t="s">
        <v>28</v>
      </c>
      <c r="AQ115" s="220"/>
      <c r="AR115" s="221"/>
      <c r="AS115" s="219" t="s">
        <v>29</v>
      </c>
      <c r="AT115" s="220"/>
      <c r="AU115" s="221"/>
      <c r="AV115" s="219" t="s">
        <v>30</v>
      </c>
      <c r="AW115" s="220"/>
      <c r="AX115" s="221"/>
      <c r="AY115" s="219" t="s">
        <v>31</v>
      </c>
      <c r="AZ115" s="220"/>
      <c r="BA115" s="221"/>
      <c r="BB115" s="219" t="s">
        <v>53</v>
      </c>
      <c r="BC115" s="220"/>
      <c r="BD115" s="221"/>
      <c r="BE115" s="219" t="s">
        <v>54</v>
      </c>
      <c r="BF115" s="220"/>
      <c r="BG115" s="221"/>
      <c r="BH115" s="219" t="s">
        <v>55</v>
      </c>
      <c r="BI115" s="220"/>
      <c r="BJ115" s="221"/>
      <c r="BK115" s="219" t="s">
        <v>56</v>
      </c>
      <c r="BL115" s="220"/>
      <c r="BM115" s="221"/>
      <c r="BN115" s="219" t="s">
        <v>57</v>
      </c>
      <c r="BO115" s="220"/>
      <c r="BP115" s="221"/>
      <c r="BQ115" s="219" t="s">
        <v>58</v>
      </c>
      <c r="BR115" s="220"/>
      <c r="BS115" s="221"/>
      <c r="BT115" s="219" t="s">
        <v>59</v>
      </c>
      <c r="BU115" s="220"/>
      <c r="BV115" s="221"/>
      <c r="BW115" s="219" t="s">
        <v>60</v>
      </c>
      <c r="BX115" s="220"/>
      <c r="BY115" s="221"/>
      <c r="BZ115" s="219" t="s">
        <v>61</v>
      </c>
      <c r="CA115" s="220"/>
      <c r="CB115" s="221"/>
      <c r="CC115" s="219" t="s">
        <v>62</v>
      </c>
      <c r="CD115" s="220"/>
      <c r="CE115" s="221"/>
      <c r="CF115" s="219" t="s">
        <v>63</v>
      </c>
      <c r="CG115" s="220"/>
      <c r="CH115" s="221"/>
      <c r="CI115" s="219" t="s">
        <v>64</v>
      </c>
      <c r="CJ115" s="220"/>
      <c r="CK115" s="221"/>
      <c r="CL115" s="219" t="s">
        <v>65</v>
      </c>
      <c r="CM115" s="220"/>
      <c r="CN115" s="221"/>
      <c r="CO115" s="219" t="s">
        <v>66</v>
      </c>
      <c r="CP115" s="220"/>
      <c r="CQ115" s="221"/>
      <c r="CR115" s="219" t="s">
        <v>67</v>
      </c>
      <c r="CS115" s="220"/>
      <c r="CT115" s="221"/>
      <c r="CU115" s="219" t="s">
        <v>68</v>
      </c>
      <c r="CV115" s="220"/>
      <c r="CW115" s="221"/>
      <c r="CX115" s="219" t="s">
        <v>69</v>
      </c>
      <c r="CY115" s="220"/>
      <c r="CZ115" s="221"/>
      <c r="DA115" s="219" t="s">
        <v>70</v>
      </c>
      <c r="DB115" s="220"/>
      <c r="DC115" s="221"/>
      <c r="DD115" s="219" t="s">
        <v>71</v>
      </c>
      <c r="DE115" s="220"/>
      <c r="DF115" s="221"/>
      <c r="DG115" s="219" t="s">
        <v>72</v>
      </c>
      <c r="DH115" s="220"/>
      <c r="DI115" s="221"/>
      <c r="DJ115" s="219" t="s">
        <v>73</v>
      </c>
      <c r="DK115" s="220"/>
      <c r="DL115" s="221"/>
      <c r="DM115" s="219" t="s">
        <v>74</v>
      </c>
      <c r="DN115" s="220"/>
      <c r="DO115" s="221"/>
      <c r="DP115" s="219" t="s">
        <v>75</v>
      </c>
      <c r="DQ115" s="220"/>
      <c r="DR115" s="221"/>
      <c r="DS115" s="219" t="s">
        <v>76</v>
      </c>
      <c r="DT115" s="220"/>
      <c r="DU115" s="221"/>
      <c r="DV115" s="219" t="s">
        <v>77</v>
      </c>
      <c r="DW115" s="220"/>
      <c r="DX115" s="221"/>
      <c r="DY115" s="219" t="s">
        <v>78</v>
      </c>
      <c r="DZ115" s="220"/>
      <c r="EA115" s="221"/>
      <c r="EB115" s="219" t="s">
        <v>79</v>
      </c>
      <c r="EC115" s="220"/>
      <c r="ED115" s="221"/>
      <c r="EE115" s="228" t="s">
        <v>80</v>
      </c>
      <c r="EF115" s="229"/>
      <c r="EG115" s="230"/>
    </row>
    <row r="116" spans="15:137" ht="15.75" x14ac:dyDescent="0.25">
      <c r="Q116" s="70" t="s">
        <v>0</v>
      </c>
      <c r="R116" s="66">
        <f>R$71*R73</f>
        <v>0.59499999999999997</v>
      </c>
      <c r="S116" s="67">
        <f>S$71*S73</f>
        <v>0.87749999999999995</v>
      </c>
      <c r="T116" s="68">
        <f t="shared" ref="T116:CD116" si="1687">T$71*T73</f>
        <v>1</v>
      </c>
      <c r="U116" s="66">
        <f t="shared" si="1687"/>
        <v>0.31578947368421051</v>
      </c>
      <c r="V116" s="67">
        <f t="shared" si="1687"/>
        <v>0.52499999999999991</v>
      </c>
      <c r="W116" s="68">
        <f t="shared" si="1687"/>
        <v>0.9</v>
      </c>
      <c r="X116" s="66">
        <f t="shared" si="1687"/>
        <v>0.6</v>
      </c>
      <c r="Y116" s="67">
        <f t="shared" si="1687"/>
        <v>0.87179487179487181</v>
      </c>
      <c r="Z116" s="68">
        <f t="shared" si="1687"/>
        <v>1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0.45499999999999996</v>
      </c>
      <c r="S117" s="39">
        <f t="shared" si="1689"/>
        <v>0.76500000000000001</v>
      </c>
      <c r="T117" s="40">
        <f t="shared" si="1689"/>
        <v>0.97499999999999998</v>
      </c>
      <c r="U117" s="38">
        <f t="shared" si="1689"/>
        <v>0.31578947368421051</v>
      </c>
      <c r="V117" s="39">
        <f t="shared" si="1689"/>
        <v>0.52499999999999991</v>
      </c>
      <c r="W117" s="40">
        <f t="shared" si="1689"/>
        <v>0.9</v>
      </c>
      <c r="X117" s="38">
        <f t="shared" si="1689"/>
        <v>0.6</v>
      </c>
      <c r="Y117" s="39">
        <f t="shared" si="1689"/>
        <v>0.87179487179487181</v>
      </c>
      <c r="Z117" s="40">
        <f t="shared" si="1689"/>
        <v>1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</v>
      </c>
      <c r="S118" s="39">
        <f t="shared" si="1691"/>
        <v>0</v>
      </c>
      <c r="T118" s="40">
        <f t="shared" si="1691"/>
        <v>0</v>
      </c>
      <c r="U118" s="38">
        <f t="shared" si="1691"/>
        <v>0</v>
      </c>
      <c r="V118" s="39">
        <f t="shared" si="1691"/>
        <v>0</v>
      </c>
      <c r="W118" s="40">
        <f t="shared" si="1691"/>
        <v>0</v>
      </c>
      <c r="X118" s="38">
        <f t="shared" si="1691"/>
        <v>0</v>
      </c>
      <c r="Y118" s="39">
        <f t="shared" si="1691"/>
        <v>0</v>
      </c>
      <c r="Z118" s="40">
        <f t="shared" si="1691"/>
        <v>0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254" t="s">
        <v>315</v>
      </c>
      <c r="P126" s="255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256"/>
      <c r="P127" s="257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256"/>
      <c r="P128" s="257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256"/>
      <c r="P129" s="257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256"/>
      <c r="P130" s="257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256"/>
      <c r="P131" s="257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256"/>
      <c r="P132" s="257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256"/>
      <c r="P133" s="257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256"/>
      <c r="P134" s="257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256"/>
      <c r="P135" s="257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256"/>
      <c r="P136" s="257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256"/>
      <c r="P137" s="257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256"/>
      <c r="P138" s="257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256"/>
      <c r="P139" s="257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256"/>
      <c r="P140" s="257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256"/>
      <c r="P141" s="257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256"/>
      <c r="P142" s="257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256"/>
      <c r="P143" s="257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256"/>
      <c r="P144" s="257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58"/>
      <c r="P145" s="259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219" t="s">
        <v>20</v>
      </c>
      <c r="S159" s="220"/>
      <c r="T159" s="221"/>
      <c r="U159" s="219" t="s">
        <v>21</v>
      </c>
      <c r="V159" s="220"/>
      <c r="W159" s="221"/>
      <c r="X159" s="219" t="s">
        <v>22</v>
      </c>
      <c r="Y159" s="220"/>
      <c r="Z159" s="221"/>
      <c r="AA159" s="219" t="s">
        <v>23</v>
      </c>
      <c r="AB159" s="220"/>
      <c r="AC159" s="221"/>
      <c r="AD159" s="219" t="s">
        <v>24</v>
      </c>
      <c r="AE159" s="220"/>
      <c r="AF159" s="221"/>
      <c r="AG159" s="219" t="s">
        <v>25</v>
      </c>
      <c r="AH159" s="220"/>
      <c r="AI159" s="221"/>
      <c r="AJ159" s="219" t="s">
        <v>26</v>
      </c>
      <c r="AK159" s="220"/>
      <c r="AL159" s="221"/>
      <c r="AM159" s="219" t="s">
        <v>27</v>
      </c>
      <c r="AN159" s="220"/>
      <c r="AO159" s="221"/>
      <c r="AP159" s="219" t="s">
        <v>28</v>
      </c>
      <c r="AQ159" s="220"/>
      <c r="AR159" s="221"/>
      <c r="AS159" s="219" t="s">
        <v>29</v>
      </c>
      <c r="AT159" s="220"/>
      <c r="AU159" s="221"/>
      <c r="AV159" s="219" t="s">
        <v>30</v>
      </c>
      <c r="AW159" s="220"/>
      <c r="AX159" s="221"/>
      <c r="AY159" s="219" t="s">
        <v>31</v>
      </c>
      <c r="AZ159" s="220"/>
      <c r="BA159" s="221"/>
      <c r="BB159" s="219" t="s">
        <v>53</v>
      </c>
      <c r="BC159" s="220"/>
      <c r="BD159" s="221"/>
      <c r="BE159" s="219" t="s">
        <v>54</v>
      </c>
      <c r="BF159" s="220"/>
      <c r="BG159" s="221"/>
      <c r="BH159" s="219" t="s">
        <v>55</v>
      </c>
      <c r="BI159" s="220"/>
      <c r="BJ159" s="221"/>
      <c r="BK159" s="219" t="s">
        <v>56</v>
      </c>
      <c r="BL159" s="220"/>
      <c r="BM159" s="221"/>
      <c r="BN159" s="219" t="s">
        <v>57</v>
      </c>
      <c r="BO159" s="220"/>
      <c r="BP159" s="221"/>
      <c r="BQ159" s="219" t="s">
        <v>58</v>
      </c>
      <c r="BR159" s="220"/>
      <c r="BS159" s="221"/>
      <c r="BT159" s="219" t="s">
        <v>59</v>
      </c>
      <c r="BU159" s="220"/>
      <c r="BV159" s="221"/>
      <c r="BW159" s="219" t="s">
        <v>60</v>
      </c>
      <c r="BX159" s="220"/>
      <c r="BY159" s="221"/>
      <c r="BZ159" s="219" t="s">
        <v>61</v>
      </c>
      <c r="CA159" s="220"/>
      <c r="CB159" s="221"/>
      <c r="CC159" s="219" t="s">
        <v>62</v>
      </c>
      <c r="CD159" s="220"/>
      <c r="CE159" s="221"/>
      <c r="CF159" s="219" t="s">
        <v>63</v>
      </c>
      <c r="CG159" s="220"/>
      <c r="CH159" s="221"/>
      <c r="CI159" s="219" t="s">
        <v>64</v>
      </c>
      <c r="CJ159" s="220"/>
      <c r="CK159" s="221"/>
      <c r="CL159" s="219" t="s">
        <v>65</v>
      </c>
      <c r="CM159" s="220"/>
      <c r="CN159" s="221"/>
      <c r="CO159" s="219" t="s">
        <v>66</v>
      </c>
      <c r="CP159" s="220"/>
      <c r="CQ159" s="221"/>
      <c r="CR159" s="219" t="s">
        <v>67</v>
      </c>
      <c r="CS159" s="220"/>
      <c r="CT159" s="221"/>
      <c r="CU159" s="219" t="s">
        <v>68</v>
      </c>
      <c r="CV159" s="220"/>
      <c r="CW159" s="221"/>
      <c r="CX159" s="219" t="s">
        <v>69</v>
      </c>
      <c r="CY159" s="220"/>
      <c r="CZ159" s="221"/>
      <c r="DA159" s="219" t="s">
        <v>70</v>
      </c>
      <c r="DB159" s="220"/>
      <c r="DC159" s="221"/>
      <c r="DD159" s="219" t="s">
        <v>71</v>
      </c>
      <c r="DE159" s="220"/>
      <c r="DF159" s="221"/>
      <c r="DG159" s="219" t="s">
        <v>72</v>
      </c>
      <c r="DH159" s="220"/>
      <c r="DI159" s="221"/>
      <c r="DJ159" s="219" t="s">
        <v>73</v>
      </c>
      <c r="DK159" s="220"/>
      <c r="DL159" s="221"/>
      <c r="DM159" s="219" t="s">
        <v>74</v>
      </c>
      <c r="DN159" s="220"/>
      <c r="DO159" s="221"/>
      <c r="DP159" s="219" t="s">
        <v>75</v>
      </c>
      <c r="DQ159" s="220"/>
      <c r="DR159" s="221"/>
      <c r="DS159" s="219" t="s">
        <v>76</v>
      </c>
      <c r="DT159" s="220"/>
      <c r="DU159" s="221"/>
      <c r="DV159" s="219" t="s">
        <v>77</v>
      </c>
      <c r="DW159" s="220"/>
      <c r="DX159" s="221"/>
      <c r="DY159" s="219" t="s">
        <v>78</v>
      </c>
      <c r="DZ159" s="220"/>
      <c r="EA159" s="221"/>
      <c r="EB159" s="219" t="s">
        <v>79</v>
      </c>
      <c r="EC159" s="220"/>
      <c r="ED159" s="221"/>
      <c r="EE159" s="220" t="s">
        <v>80</v>
      </c>
      <c r="EF159" s="220"/>
      <c r="EG159" s="221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0.24428893411968816</v>
      </c>
      <c r="S165" s="88">
        <f>IF(W116&gt;0,SQRT((1/3)*(POWER($U$160-U116,2)+POWER($V$160-V116,2)+POWER($W$160-W116,2))),0)</f>
        <v>0.48434458956454057</v>
      </c>
      <c r="T165" s="88">
        <f>IF(Z116&gt;0,SQRT((1/3)*(POWER($X$160-X116,2)+POWER($Y$160-Y116,2)+POWER($Z$160-Z116,2))),0)</f>
        <v>0.24251223673462569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0.97114576041885448</v>
      </c>
      <c r="BN165" s="70" t="s">
        <v>0</v>
      </c>
      <c r="BO165" s="87">
        <f>IF(T116&gt;0,SQRT((1/3)*(POWER(R116,2)+POWER(S116,2)+POWER(T116,2))),0)</f>
        <v>0.84143354857449471</v>
      </c>
      <c r="BP165" s="88">
        <f>IF(W116&gt;0,SQRT((1/3)*(POWER(U116,2)+POWER(V116,2)+POWER(W116,2))),0)</f>
        <v>0.62858253016602117</v>
      </c>
      <c r="BQ165" s="88">
        <f>IF(Z116&gt;0,SQRT((1/3)*(POWER(X116,2)+POWER(Y116,2)+POWER(Z116,2))),0)</f>
        <v>0.84063989485943325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2.3106559735999492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0.34296501279285035</v>
      </c>
      <c r="S166" s="91">
        <f t="shared" ref="S166:S204" si="1768">IF(W117&gt;0,SQRT((1/3)*(POWER($U$160-U117,2)+POWER($V$160-V117,2)+POWER($W$160-W117,2))),0)</f>
        <v>0.48434458956454057</v>
      </c>
      <c r="T166" s="91">
        <f t="shared" ref="T166:T204" si="1769">IF(Z117&gt;0,SQRT((1/3)*(POWER($X$160-X117,2)+POWER($Y$160-Y117,2)+POWER($Z$160-Z117,2))),0)</f>
        <v>0.24251223673462569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1.0698218390920167</v>
      </c>
      <c r="BN166" s="71" t="s">
        <v>1</v>
      </c>
      <c r="BO166" s="90">
        <f t="shared" ref="BO166:BO204" si="1808">IF(T117&gt;0,SQRT((1/3)*(POWER(R117,2)+POWER(S117,2)+POWER(T117,2))),0)</f>
        <v>0.76220622756136891</v>
      </c>
      <c r="BP166" s="91">
        <f t="shared" ref="BP166:BP204" si="1809">IF(W117&gt;0,SQRT((1/3)*(POWER(U117,2)+POWER(V117,2)+POWER(W117,2))),0)</f>
        <v>0.62858253016602117</v>
      </c>
      <c r="BQ166" s="91">
        <f t="shared" ref="BQ166:BQ204" si="1810">IF(Z117&gt;0,SQRT((1/3)*(POWER(X117,2)+POWER(Y117,2)+POWER(Z117,2))),0)</f>
        <v>0.84063989485943325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2.2314286525868234</v>
      </c>
    </row>
    <row r="167" spans="2:137" ht="15.75" x14ac:dyDescent="0.25">
      <c r="Q167" s="71" t="s">
        <v>2</v>
      </c>
      <c r="R167" s="90">
        <f t="shared" si="1767"/>
        <v>0</v>
      </c>
      <c r="S167" s="91">
        <f t="shared" si="1768"/>
        <v>0</v>
      </c>
      <c r="T167" s="91">
        <f t="shared" si="1769"/>
        <v>0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0</v>
      </c>
      <c r="BN167" s="71" t="s">
        <v>2</v>
      </c>
      <c r="BO167" s="90">
        <f t="shared" si="1808"/>
        <v>0</v>
      </c>
      <c r="BP167" s="91">
        <f t="shared" si="1809"/>
        <v>0</v>
      </c>
      <c r="BQ167" s="91">
        <f t="shared" si="1810"/>
        <v>0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0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195"/>
      <c r="H172" s="195"/>
      <c r="I172" s="195"/>
      <c r="J172" s="195"/>
      <c r="K172" s="195"/>
      <c r="L172" s="195"/>
      <c r="M172" s="195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195"/>
      <c r="H173" s="195"/>
      <c r="I173" s="195"/>
      <c r="J173" s="195"/>
      <c r="K173" s="195"/>
      <c r="L173" s="195"/>
      <c r="M173" s="195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195"/>
      <c r="H174" s="195"/>
      <c r="I174" s="195"/>
      <c r="J174" s="195"/>
      <c r="K174" s="195"/>
      <c r="L174" s="195"/>
      <c r="M174" s="195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195"/>
      <c r="H175" s="195"/>
      <c r="I175" s="195"/>
      <c r="J175" s="195"/>
      <c r="K175" s="195"/>
      <c r="L175" s="195"/>
      <c r="M175" s="195"/>
      <c r="O175" s="222" t="s">
        <v>126</v>
      </c>
      <c r="P175" s="223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22" t="s">
        <v>127</v>
      </c>
      <c r="BM175" s="223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195"/>
      <c r="H176" s="195"/>
      <c r="I176" s="195"/>
      <c r="J176" s="195"/>
      <c r="K176" s="195"/>
      <c r="L176" s="195"/>
      <c r="M176" s="195"/>
      <c r="O176" s="224"/>
      <c r="P176" s="225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24"/>
      <c r="BM176" s="225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195"/>
      <c r="H177" s="195"/>
      <c r="I177" s="195"/>
      <c r="J177" s="195"/>
      <c r="K177" s="195"/>
      <c r="L177" s="195"/>
      <c r="M177" s="195"/>
      <c r="O177" s="224"/>
      <c r="P177" s="225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24"/>
      <c r="BM177" s="225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195"/>
      <c r="H178" s="195"/>
      <c r="I178" s="195"/>
      <c r="J178" s="195"/>
      <c r="K178" s="195"/>
      <c r="L178" s="195"/>
      <c r="M178" s="195"/>
      <c r="O178" s="224"/>
      <c r="P178" s="225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24"/>
      <c r="BM178" s="225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195"/>
      <c r="H179" s="195"/>
      <c r="I179" s="195"/>
      <c r="J179" s="195"/>
      <c r="K179" s="195"/>
      <c r="L179" s="195"/>
      <c r="M179" s="195"/>
      <c r="O179" s="224"/>
      <c r="P179" s="225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24"/>
      <c r="BM179" s="225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195"/>
      <c r="H180" s="195"/>
      <c r="I180" s="195"/>
      <c r="J180" s="195"/>
      <c r="K180" s="195"/>
      <c r="L180" s="195"/>
      <c r="M180" s="195"/>
      <c r="O180" s="224"/>
      <c r="P180" s="225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24"/>
      <c r="BM180" s="225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195"/>
      <c r="H181" s="195"/>
      <c r="I181" s="195"/>
      <c r="J181" s="195"/>
      <c r="K181" s="195"/>
      <c r="L181" s="195"/>
      <c r="M181" s="195"/>
      <c r="O181" s="224"/>
      <c r="P181" s="225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24"/>
      <c r="BM181" s="225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195"/>
      <c r="H182" s="195"/>
      <c r="I182" s="195"/>
      <c r="J182" s="195"/>
      <c r="K182" s="195"/>
      <c r="L182" s="195"/>
      <c r="M182" s="195"/>
      <c r="O182" s="224"/>
      <c r="P182" s="225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24"/>
      <c r="BM182" s="225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195"/>
      <c r="H183" s="195"/>
      <c r="I183" s="195"/>
      <c r="J183" s="195"/>
      <c r="K183" s="195"/>
      <c r="L183" s="195"/>
      <c r="M183" s="195"/>
      <c r="O183" s="224"/>
      <c r="P183" s="225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24"/>
      <c r="BM183" s="225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195"/>
      <c r="H184" s="195"/>
      <c r="I184" s="195"/>
      <c r="J184" s="195"/>
      <c r="K184" s="195"/>
      <c r="L184" s="195"/>
      <c r="M184" s="195"/>
      <c r="O184" s="224"/>
      <c r="P184" s="225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24"/>
      <c r="BM184" s="225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195"/>
      <c r="H185" s="195"/>
      <c r="I185" s="195"/>
      <c r="J185" s="195"/>
      <c r="K185" s="195"/>
      <c r="L185" s="195"/>
      <c r="M185" s="195"/>
      <c r="O185" s="224"/>
      <c r="P185" s="225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24"/>
      <c r="BM185" s="225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195"/>
      <c r="H186" s="195"/>
      <c r="I186" s="195"/>
      <c r="J186" s="195"/>
      <c r="K186" s="195"/>
      <c r="L186" s="195"/>
      <c r="M186" s="195"/>
      <c r="O186" s="224"/>
      <c r="P186" s="225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24"/>
      <c r="BM186" s="225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195"/>
      <c r="H187" s="195"/>
      <c r="I187" s="195"/>
      <c r="J187" s="195"/>
      <c r="K187" s="195"/>
      <c r="L187" s="195"/>
      <c r="M187" s="195"/>
      <c r="O187" s="224"/>
      <c r="P187" s="225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24"/>
      <c r="BM187" s="225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195"/>
      <c r="H188" s="195"/>
      <c r="I188" s="195"/>
      <c r="J188" s="195"/>
      <c r="K188" s="195"/>
      <c r="L188" s="195"/>
      <c r="M188" s="195"/>
      <c r="O188" s="224"/>
      <c r="P188" s="225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24"/>
      <c r="BM188" s="225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195"/>
      <c r="H189" s="195"/>
      <c r="I189" s="195"/>
      <c r="J189" s="195"/>
      <c r="K189" s="195"/>
      <c r="L189" s="195"/>
      <c r="M189" s="195"/>
      <c r="O189" s="224"/>
      <c r="P189" s="225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24"/>
      <c r="BM189" s="225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195"/>
      <c r="H190" s="195"/>
      <c r="I190" s="195"/>
      <c r="J190" s="195"/>
      <c r="K190" s="195"/>
      <c r="L190" s="195"/>
      <c r="M190" s="195"/>
      <c r="O190" s="224"/>
      <c r="P190" s="225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24"/>
      <c r="BM190" s="225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195"/>
      <c r="H191" s="195"/>
      <c r="I191" s="195"/>
      <c r="J191" s="195"/>
      <c r="K191" s="195"/>
      <c r="L191" s="195"/>
      <c r="M191" s="195"/>
      <c r="O191" s="224"/>
      <c r="P191" s="225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24"/>
      <c r="BM191" s="225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195"/>
      <c r="H192" s="195"/>
      <c r="I192" s="195"/>
      <c r="J192" s="195"/>
      <c r="K192" s="195"/>
      <c r="L192" s="195"/>
      <c r="M192" s="195"/>
      <c r="O192" s="224"/>
      <c r="P192" s="225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24"/>
      <c r="BM192" s="225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195"/>
      <c r="H193" s="195"/>
      <c r="I193" s="195"/>
      <c r="J193" s="195"/>
      <c r="K193" s="195"/>
      <c r="L193" s="195"/>
      <c r="M193" s="195"/>
      <c r="O193" s="224"/>
      <c r="P193" s="225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24"/>
      <c r="BM193" s="225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195"/>
      <c r="H194" s="195"/>
      <c r="I194" s="195"/>
      <c r="J194" s="195"/>
      <c r="K194" s="195"/>
      <c r="L194" s="195"/>
      <c r="M194" s="195"/>
      <c r="O194" s="226"/>
      <c r="P194" s="227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26"/>
      <c r="BM194" s="227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195"/>
      <c r="H195" s="195"/>
      <c r="I195" s="195"/>
      <c r="J195" s="195"/>
      <c r="K195" s="195"/>
      <c r="L195" s="195"/>
      <c r="M195" s="195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195"/>
      <c r="H196" s="195"/>
      <c r="I196" s="195"/>
      <c r="J196" s="195"/>
      <c r="K196" s="195"/>
      <c r="L196" s="195"/>
      <c r="M196" s="195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195"/>
      <c r="H197" s="195"/>
      <c r="I197" s="195"/>
      <c r="J197" s="195"/>
      <c r="K197" s="195"/>
      <c r="L197" s="195"/>
      <c r="M197" s="195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200" t="s">
        <v>316</v>
      </c>
      <c r="BG207" s="201"/>
      <c r="BH207" s="201"/>
      <c r="BI207" s="201"/>
      <c r="BJ207" s="201"/>
      <c r="BK207" s="201"/>
      <c r="BL207" s="201"/>
      <c r="BM207" s="202"/>
    </row>
    <row r="208" spans="2:109" ht="15.75" customHeight="1" thickBot="1" x14ac:dyDescent="0.3">
      <c r="B208" s="74"/>
      <c r="C208" s="74"/>
      <c r="D208" s="74"/>
      <c r="E208" s="74"/>
      <c r="BF208" s="203"/>
      <c r="BG208" s="204"/>
      <c r="BH208" s="204"/>
      <c r="BI208" s="204"/>
      <c r="BJ208" s="204"/>
      <c r="BK208" s="204"/>
      <c r="BL208" s="204"/>
      <c r="BM208" s="205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0.70408152620797837</v>
      </c>
      <c r="BH210" s="206">
        <f>BG210</f>
        <v>0.70408152620797837</v>
      </c>
      <c r="BI210" s="207"/>
      <c r="BJ210" s="207"/>
      <c r="BK210" s="207"/>
      <c r="BL210" s="208"/>
      <c r="BM210" s="37">
        <f>IF(BG210&gt;0,RANK(BG210,$BG$210:$BG$249),0)</f>
        <v>1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0.67593436432993537</v>
      </c>
      <c r="BH211" s="209">
        <f t="shared" ref="BH211:BH249" si="1850">BG211</f>
        <v>0.67593436432993537</v>
      </c>
      <c r="BI211" s="196"/>
      <c r="BJ211" s="196"/>
      <c r="BK211" s="196"/>
      <c r="BL211" s="197"/>
      <c r="BM211" s="41">
        <f t="shared" ref="BM211:BM249" si="1851">IF(BG211&gt;0,RANK(BG211,$BG$210:$BG$249),0)</f>
        <v>2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</v>
      </c>
      <c r="BH212" s="209">
        <f t="shared" si="1850"/>
        <v>0</v>
      </c>
      <c r="BI212" s="196"/>
      <c r="BJ212" s="196"/>
      <c r="BK212" s="196"/>
      <c r="BL212" s="197"/>
      <c r="BM212" s="41">
        <f t="shared" si="1851"/>
        <v>0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09">
        <f t="shared" si="1850"/>
        <v>0</v>
      </c>
      <c r="BI213" s="196"/>
      <c r="BJ213" s="196"/>
      <c r="BK213" s="196"/>
      <c r="BL213" s="197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09">
        <f t="shared" si="1850"/>
        <v>0</v>
      </c>
      <c r="BI214" s="196"/>
      <c r="BJ214" s="196"/>
      <c r="BK214" s="196"/>
      <c r="BL214" s="197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09">
        <f t="shared" si="1850"/>
        <v>0</v>
      </c>
      <c r="BI215" s="196"/>
      <c r="BJ215" s="196"/>
      <c r="BK215" s="196"/>
      <c r="BL215" s="197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09">
        <f t="shared" si="1850"/>
        <v>0</v>
      </c>
      <c r="BI216" s="196"/>
      <c r="BJ216" s="196"/>
      <c r="BK216" s="196"/>
      <c r="BL216" s="197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09">
        <f t="shared" si="1850"/>
        <v>0</v>
      </c>
      <c r="BI217" s="196"/>
      <c r="BJ217" s="196"/>
      <c r="BK217" s="196"/>
      <c r="BL217" s="197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09">
        <f t="shared" si="1850"/>
        <v>0</v>
      </c>
      <c r="BI218" s="196"/>
      <c r="BJ218" s="196"/>
      <c r="BK218" s="196"/>
      <c r="BL218" s="197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09">
        <f t="shared" si="1850"/>
        <v>0</v>
      </c>
      <c r="BI219" s="196"/>
      <c r="BJ219" s="196"/>
      <c r="BK219" s="196"/>
      <c r="BL219" s="197"/>
      <c r="BM219" s="41">
        <f t="shared" si="1851"/>
        <v>0</v>
      </c>
      <c r="BO219" s="210" t="s">
        <v>317</v>
      </c>
      <c r="BP219" s="211"/>
      <c r="BQ219" s="211"/>
      <c r="BR219" s="212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4">
        <f t="shared" si="1850"/>
        <v>0</v>
      </c>
      <c r="BI220" s="124"/>
      <c r="BJ220" s="124"/>
      <c r="BK220" s="124"/>
      <c r="BL220" s="125"/>
      <c r="BM220" s="41">
        <f t="shared" si="1851"/>
        <v>0</v>
      </c>
      <c r="BO220" s="213"/>
      <c r="BP220" s="214"/>
      <c r="BQ220" s="214"/>
      <c r="BR220" s="215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4">
        <f t="shared" si="1850"/>
        <v>0</v>
      </c>
      <c r="BI221" s="124"/>
      <c r="BJ221" s="124"/>
      <c r="BK221" s="124"/>
      <c r="BL221" s="125"/>
      <c r="BM221" s="41">
        <f t="shared" si="1851"/>
        <v>0</v>
      </c>
      <c r="BO221" s="213"/>
      <c r="BP221" s="214"/>
      <c r="BQ221" s="214"/>
      <c r="BR221" s="215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4">
        <f t="shared" si="1850"/>
        <v>0</v>
      </c>
      <c r="BI222" s="124"/>
      <c r="BJ222" s="124"/>
      <c r="BK222" s="124"/>
      <c r="BL222" s="125"/>
      <c r="BM222" s="41">
        <f t="shared" si="1851"/>
        <v>0</v>
      </c>
      <c r="BO222" s="213"/>
      <c r="BP222" s="214"/>
      <c r="BQ222" s="214"/>
      <c r="BR222" s="215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4">
        <f t="shared" si="1850"/>
        <v>0</v>
      </c>
      <c r="BI223" s="124"/>
      <c r="BJ223" s="124"/>
      <c r="BK223" s="124"/>
      <c r="BL223" s="125"/>
      <c r="BM223" s="41">
        <f t="shared" si="1851"/>
        <v>0</v>
      </c>
      <c r="BO223" s="213"/>
      <c r="BP223" s="214"/>
      <c r="BQ223" s="214"/>
      <c r="BR223" s="215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4">
        <f t="shared" si="1850"/>
        <v>0</v>
      </c>
      <c r="BI224" s="124"/>
      <c r="BJ224" s="124"/>
      <c r="BK224" s="124"/>
      <c r="BL224" s="125"/>
      <c r="BM224" s="41">
        <f t="shared" si="1851"/>
        <v>0</v>
      </c>
      <c r="BO224" s="213"/>
      <c r="BP224" s="214"/>
      <c r="BQ224" s="214"/>
      <c r="BR224" s="215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196">
        <f t="shared" si="1850"/>
        <v>0</v>
      </c>
      <c r="BI225" s="196"/>
      <c r="BJ225" s="196"/>
      <c r="BK225" s="196"/>
      <c r="BL225" s="197"/>
      <c r="BM225" s="41">
        <f t="shared" si="1851"/>
        <v>0</v>
      </c>
      <c r="BO225" s="213"/>
      <c r="BP225" s="214"/>
      <c r="BQ225" s="214"/>
      <c r="BR225" s="215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196">
        <f t="shared" si="1850"/>
        <v>0</v>
      </c>
      <c r="BI226" s="196"/>
      <c r="BJ226" s="196"/>
      <c r="BK226" s="196"/>
      <c r="BL226" s="197"/>
      <c r="BM226" s="41">
        <f t="shared" si="1851"/>
        <v>0</v>
      </c>
      <c r="BO226" s="213"/>
      <c r="BP226" s="214"/>
      <c r="BQ226" s="214"/>
      <c r="BR226" s="215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196">
        <f t="shared" si="1850"/>
        <v>0</v>
      </c>
      <c r="BI227" s="196"/>
      <c r="BJ227" s="196"/>
      <c r="BK227" s="196"/>
      <c r="BL227" s="197"/>
      <c r="BM227" s="41">
        <f t="shared" si="1851"/>
        <v>0</v>
      </c>
      <c r="BO227" s="213"/>
      <c r="BP227" s="214"/>
      <c r="BQ227" s="214"/>
      <c r="BR227" s="215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196">
        <f t="shared" si="1850"/>
        <v>0</v>
      </c>
      <c r="BI228" s="196"/>
      <c r="BJ228" s="196"/>
      <c r="BK228" s="196"/>
      <c r="BL228" s="197"/>
      <c r="BM228" s="41">
        <f t="shared" si="1851"/>
        <v>0</v>
      </c>
      <c r="BO228" s="213"/>
      <c r="BP228" s="214"/>
      <c r="BQ228" s="214"/>
      <c r="BR228" s="215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196">
        <f t="shared" si="1850"/>
        <v>0</v>
      </c>
      <c r="BI229" s="196"/>
      <c r="BJ229" s="196"/>
      <c r="BK229" s="196"/>
      <c r="BL229" s="197"/>
      <c r="BM229" s="41">
        <f t="shared" si="1851"/>
        <v>0</v>
      </c>
      <c r="BO229" s="213"/>
      <c r="BP229" s="214"/>
      <c r="BQ229" s="214"/>
      <c r="BR229" s="215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196">
        <f t="shared" si="1850"/>
        <v>0</v>
      </c>
      <c r="BI230" s="196"/>
      <c r="BJ230" s="196"/>
      <c r="BK230" s="196"/>
      <c r="BL230" s="197"/>
      <c r="BM230" s="41">
        <f t="shared" si="1851"/>
        <v>0</v>
      </c>
      <c r="BO230" s="213"/>
      <c r="BP230" s="214"/>
      <c r="BQ230" s="214"/>
      <c r="BR230" s="215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196">
        <f t="shared" si="1850"/>
        <v>0</v>
      </c>
      <c r="BI231" s="196"/>
      <c r="BJ231" s="196"/>
      <c r="BK231" s="196"/>
      <c r="BL231" s="197"/>
      <c r="BM231" s="41">
        <f t="shared" si="1851"/>
        <v>0</v>
      </c>
      <c r="BO231" s="213"/>
      <c r="BP231" s="214"/>
      <c r="BQ231" s="214"/>
      <c r="BR231" s="215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196">
        <f t="shared" si="1850"/>
        <v>0</v>
      </c>
      <c r="BI232" s="196"/>
      <c r="BJ232" s="196"/>
      <c r="BK232" s="196"/>
      <c r="BL232" s="197"/>
      <c r="BM232" s="41">
        <f t="shared" si="1851"/>
        <v>0</v>
      </c>
      <c r="BO232" s="213"/>
      <c r="BP232" s="214"/>
      <c r="BQ232" s="214"/>
      <c r="BR232" s="215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196">
        <f t="shared" si="1850"/>
        <v>0</v>
      </c>
      <c r="BI233" s="196"/>
      <c r="BJ233" s="196"/>
      <c r="BK233" s="196"/>
      <c r="BL233" s="197"/>
      <c r="BM233" s="41">
        <f t="shared" si="1851"/>
        <v>0</v>
      </c>
      <c r="BO233" s="213"/>
      <c r="BP233" s="214"/>
      <c r="BQ233" s="214"/>
      <c r="BR233" s="215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196">
        <f t="shared" si="1850"/>
        <v>0</v>
      </c>
      <c r="BI234" s="196"/>
      <c r="BJ234" s="196"/>
      <c r="BK234" s="196"/>
      <c r="BL234" s="197"/>
      <c r="BM234" s="41">
        <f t="shared" si="1851"/>
        <v>0</v>
      </c>
      <c r="BO234" s="213"/>
      <c r="BP234" s="214"/>
      <c r="BQ234" s="214"/>
      <c r="BR234" s="215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196">
        <f t="shared" si="1850"/>
        <v>0</v>
      </c>
      <c r="BI235" s="196"/>
      <c r="BJ235" s="196"/>
      <c r="BK235" s="196"/>
      <c r="BL235" s="197"/>
      <c r="BM235" s="41">
        <f t="shared" si="1851"/>
        <v>0</v>
      </c>
      <c r="BO235" s="213"/>
      <c r="BP235" s="214"/>
      <c r="BQ235" s="214"/>
      <c r="BR235" s="215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196">
        <f t="shared" si="1850"/>
        <v>0</v>
      </c>
      <c r="BI236" s="196"/>
      <c r="BJ236" s="196"/>
      <c r="BK236" s="196"/>
      <c r="BL236" s="197"/>
      <c r="BM236" s="41">
        <f t="shared" si="1851"/>
        <v>0</v>
      </c>
      <c r="BO236" s="213"/>
      <c r="BP236" s="214"/>
      <c r="BQ236" s="214"/>
      <c r="BR236" s="215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196">
        <f t="shared" si="1850"/>
        <v>0</v>
      </c>
      <c r="BI237" s="196"/>
      <c r="BJ237" s="196"/>
      <c r="BK237" s="196"/>
      <c r="BL237" s="197"/>
      <c r="BM237" s="41">
        <f t="shared" si="1851"/>
        <v>0</v>
      </c>
      <c r="BO237" s="213"/>
      <c r="BP237" s="214"/>
      <c r="BQ237" s="214"/>
      <c r="BR237" s="215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196">
        <f t="shared" si="1850"/>
        <v>0</v>
      </c>
      <c r="BI238" s="196"/>
      <c r="BJ238" s="196"/>
      <c r="BK238" s="196"/>
      <c r="BL238" s="197"/>
      <c r="BM238" s="41">
        <f t="shared" si="1851"/>
        <v>0</v>
      </c>
      <c r="BO238" s="213"/>
      <c r="BP238" s="214"/>
      <c r="BQ238" s="214"/>
      <c r="BR238" s="215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196">
        <f t="shared" si="1850"/>
        <v>0</v>
      </c>
      <c r="BI239" s="196"/>
      <c r="BJ239" s="196"/>
      <c r="BK239" s="196"/>
      <c r="BL239" s="197"/>
      <c r="BM239" s="41">
        <f t="shared" si="1851"/>
        <v>0</v>
      </c>
      <c r="BO239" s="216"/>
      <c r="BP239" s="217"/>
      <c r="BQ239" s="217"/>
      <c r="BR239" s="218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196">
        <f t="shared" si="1850"/>
        <v>0</v>
      </c>
      <c r="BI240" s="196"/>
      <c r="BJ240" s="196"/>
      <c r="BK240" s="196"/>
      <c r="BL240" s="197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196">
        <f t="shared" si="1850"/>
        <v>0</v>
      </c>
      <c r="BI241" s="196"/>
      <c r="BJ241" s="196"/>
      <c r="BK241" s="196"/>
      <c r="BL241" s="197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196">
        <f t="shared" si="1850"/>
        <v>0</v>
      </c>
      <c r="BI242" s="196"/>
      <c r="BJ242" s="196"/>
      <c r="BK242" s="196"/>
      <c r="BL242" s="197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196">
        <f t="shared" si="1850"/>
        <v>0</v>
      </c>
      <c r="BI243" s="196"/>
      <c r="BJ243" s="196"/>
      <c r="BK243" s="196"/>
      <c r="BL243" s="197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196">
        <f t="shared" si="1850"/>
        <v>0</v>
      </c>
      <c r="BI244" s="196"/>
      <c r="BJ244" s="196"/>
      <c r="BK244" s="196"/>
      <c r="BL244" s="197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196">
        <f t="shared" si="1850"/>
        <v>0</v>
      </c>
      <c r="BI245" s="196"/>
      <c r="BJ245" s="196"/>
      <c r="BK245" s="196"/>
      <c r="BL245" s="197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196">
        <f t="shared" si="1850"/>
        <v>0</v>
      </c>
      <c r="BI246" s="196"/>
      <c r="BJ246" s="196"/>
      <c r="BK246" s="196"/>
      <c r="BL246" s="197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196">
        <f t="shared" si="1850"/>
        <v>0</v>
      </c>
      <c r="BI247" s="196"/>
      <c r="BJ247" s="196"/>
      <c r="BK247" s="196"/>
      <c r="BL247" s="197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196">
        <f t="shared" si="1850"/>
        <v>0</v>
      </c>
      <c r="BI248" s="196"/>
      <c r="BJ248" s="196"/>
      <c r="BK248" s="196"/>
      <c r="BL248" s="197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198">
        <f t="shared" si="1850"/>
        <v>0</v>
      </c>
      <c r="BI249" s="198"/>
      <c r="BJ249" s="198"/>
      <c r="BK249" s="198"/>
      <c r="BL249" s="199"/>
      <c r="BM249" s="52">
        <f t="shared" si="1851"/>
        <v>0</v>
      </c>
    </row>
  </sheetData>
  <mergeCells count="290"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AD70:AF70"/>
    <mergeCell ref="AG70:AI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workbookViewId="0">
      <selection activeCell="E13" sqref="E13"/>
    </sheetView>
  </sheetViews>
  <sheetFormatPr defaultRowHeight="15" x14ac:dyDescent="0.25"/>
  <cols>
    <col min="5" max="6" width="9.140625" customWidth="1"/>
    <col min="7" max="7" width="12.28515625" customWidth="1"/>
  </cols>
  <sheetData>
    <row r="6" spans="7:14" x14ac:dyDescent="0.25">
      <c r="G6" s="274"/>
      <c r="H6" s="274"/>
      <c r="I6" s="274"/>
      <c r="J6" s="274"/>
      <c r="K6" s="274"/>
      <c r="L6" s="274"/>
      <c r="M6" s="274"/>
      <c r="N6" s="274"/>
    </row>
    <row r="7" spans="7:14" x14ac:dyDescent="0.25">
      <c r="G7" s="274"/>
      <c r="H7" s="274"/>
      <c r="I7" s="274"/>
      <c r="J7" s="274"/>
      <c r="K7" s="274"/>
      <c r="L7" s="274"/>
      <c r="M7" s="274"/>
      <c r="N7" s="274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31.5" x14ac:dyDescent="0.25">
      <c r="G9" s="147" t="str">
        <f>'Dashboard Data'!J7</f>
        <v>5'' Tubing</v>
      </c>
      <c r="H9" s="80">
        <f>'Chen (2000)'!BG210</f>
        <v>0.70408152620797837</v>
      </c>
      <c r="I9" s="207">
        <f>'Chen (2000)'!BH210</f>
        <v>0.70408152620797837</v>
      </c>
      <c r="J9" s="207"/>
      <c r="K9" s="207"/>
      <c r="L9" s="207"/>
      <c r="M9" s="208"/>
      <c r="N9" s="37">
        <f>'Chen (2000)'!BM210</f>
        <v>1</v>
      </c>
    </row>
    <row r="10" spans="7:14" ht="31.5" x14ac:dyDescent="0.25">
      <c r="G10" s="148" t="str">
        <f>'Dashboard Data'!K7</f>
        <v>7'' Tubing</v>
      </c>
      <c r="H10" s="82">
        <f>'Chen (2000)'!BG211</f>
        <v>0.67593436432993537</v>
      </c>
      <c r="I10" s="196">
        <f>'Chen (2000)'!BH211</f>
        <v>0.67593436432993537</v>
      </c>
      <c r="J10" s="196"/>
      <c r="K10" s="196"/>
      <c r="L10" s="196"/>
      <c r="M10" s="197"/>
      <c r="N10" s="41">
        <f>'Chen (2000)'!BM211</f>
        <v>2</v>
      </c>
    </row>
    <row r="11" spans="7:14" ht="15.75" x14ac:dyDescent="0.25">
      <c r="G11" s="148" t="s">
        <v>2</v>
      </c>
      <c r="H11" s="82">
        <f>'Chen (2000)'!BG212</f>
        <v>0</v>
      </c>
      <c r="I11" s="196">
        <f>'Chen (2000)'!BH212</f>
        <v>0</v>
      </c>
      <c r="J11" s="196"/>
      <c r="K11" s="196"/>
      <c r="L11" s="196"/>
      <c r="M11" s="197"/>
      <c r="N11" s="41">
        <f>'Chen (2000)'!BM212</f>
        <v>0</v>
      </c>
    </row>
    <row r="12" spans="7:14" ht="15.75" x14ac:dyDescent="0.25">
      <c r="G12" s="148" t="s">
        <v>3</v>
      </c>
      <c r="H12" s="82">
        <f>'Chen (2000)'!BG213</f>
        <v>0</v>
      </c>
      <c r="I12" s="196">
        <f>'Chen (2000)'!BH213</f>
        <v>0</v>
      </c>
      <c r="J12" s="196"/>
      <c r="K12" s="196"/>
      <c r="L12" s="196"/>
      <c r="M12" s="197"/>
      <c r="N12" s="41">
        <f>'Chen (2000)'!BM213</f>
        <v>0</v>
      </c>
    </row>
    <row r="13" spans="7:14" ht="15.75" x14ac:dyDescent="0.25">
      <c r="G13" s="113" t="s">
        <v>4</v>
      </c>
      <c r="H13" s="82">
        <f>'Chen (2000)'!BG214</f>
        <v>0</v>
      </c>
      <c r="I13" s="196">
        <f>'Chen (2000)'!BH214</f>
        <v>0</v>
      </c>
      <c r="J13" s="196"/>
      <c r="K13" s="196"/>
      <c r="L13" s="196"/>
      <c r="M13" s="197"/>
      <c r="N13" s="41">
        <f>'Chen (2000)'!BM214</f>
        <v>0</v>
      </c>
    </row>
    <row r="14" spans="7:14" ht="15.75" x14ac:dyDescent="0.25">
      <c r="G14" s="113" t="s">
        <v>5</v>
      </c>
      <c r="H14" s="82">
        <f>'Chen (2000)'!BG215</f>
        <v>0</v>
      </c>
      <c r="I14" s="196">
        <f>'Chen (2000)'!BH215</f>
        <v>0</v>
      </c>
      <c r="J14" s="196"/>
      <c r="K14" s="196"/>
      <c r="L14" s="196"/>
      <c r="M14" s="197"/>
      <c r="N14" s="41">
        <f>'Chen (2000)'!BM215</f>
        <v>0</v>
      </c>
    </row>
    <row r="15" spans="7:14" ht="15.75" x14ac:dyDescent="0.25">
      <c r="G15" s="113" t="s">
        <v>6</v>
      </c>
      <c r="H15" s="82">
        <f>'Chen (2000)'!BG216</f>
        <v>0</v>
      </c>
      <c r="I15" s="196">
        <f>'Chen (2000)'!BH216</f>
        <v>0</v>
      </c>
      <c r="J15" s="196"/>
      <c r="K15" s="196"/>
      <c r="L15" s="196"/>
      <c r="M15" s="197"/>
      <c r="N15" s="41">
        <f>'Chen (2000)'!BM216</f>
        <v>0</v>
      </c>
    </row>
    <row r="16" spans="7:14" ht="15.75" x14ac:dyDescent="0.25">
      <c r="G16" s="113" t="s">
        <v>7</v>
      </c>
      <c r="H16" s="82">
        <f>'Chen (2000)'!BG217</f>
        <v>0</v>
      </c>
      <c r="I16" s="196">
        <f>'Chen (2000)'!BH217</f>
        <v>0</v>
      </c>
      <c r="J16" s="196"/>
      <c r="K16" s="196"/>
      <c r="L16" s="196"/>
      <c r="M16" s="197"/>
      <c r="N16" s="41">
        <f>'Chen (2000)'!BM217</f>
        <v>0</v>
      </c>
    </row>
    <row r="17" spans="7:14" ht="15.75" x14ac:dyDescent="0.25">
      <c r="G17" s="113" t="s">
        <v>8</v>
      </c>
      <c r="H17" s="82">
        <f>'Chen (2000)'!BG218</f>
        <v>0</v>
      </c>
      <c r="I17" s="196">
        <f>'Chen (2000)'!BH218</f>
        <v>0</v>
      </c>
      <c r="J17" s="196"/>
      <c r="K17" s="196"/>
      <c r="L17" s="196"/>
      <c r="M17" s="197"/>
      <c r="N17" s="41">
        <f>'Chen (2000)'!BM218</f>
        <v>0</v>
      </c>
    </row>
    <row r="18" spans="7:14" ht="15.75" x14ac:dyDescent="0.25">
      <c r="G18" s="113" t="s">
        <v>9</v>
      </c>
      <c r="H18" s="82">
        <f>'Chen (2000)'!BG219</f>
        <v>0</v>
      </c>
      <c r="I18" s="196">
        <f>'Chen (2000)'!BH219</f>
        <v>0</v>
      </c>
      <c r="J18" s="196"/>
      <c r="K18" s="196"/>
      <c r="L18" s="196"/>
      <c r="M18" s="197"/>
      <c r="N18" s="41">
        <f>'Chen (2000)'!BM219</f>
        <v>0</v>
      </c>
    </row>
    <row r="19" spans="7:14" ht="15.75" x14ac:dyDescent="0.25">
      <c r="G19" s="113" t="s">
        <v>10</v>
      </c>
      <c r="H19" s="82">
        <f>'Chen (2000)'!BG220</f>
        <v>0</v>
      </c>
      <c r="I19" s="209">
        <f>'Chen (2000)'!BH220</f>
        <v>0</v>
      </c>
      <c r="J19" s="196"/>
      <c r="K19" s="196"/>
      <c r="L19" s="196"/>
      <c r="M19" s="197"/>
      <c r="N19" s="41">
        <f>'Chen (2000)'!BM220</f>
        <v>0</v>
      </c>
    </row>
    <row r="20" spans="7:14" ht="15.75" x14ac:dyDescent="0.25">
      <c r="G20" s="113" t="s">
        <v>11</v>
      </c>
      <c r="H20" s="82">
        <f>'Chen (2000)'!BG221</f>
        <v>0</v>
      </c>
      <c r="I20" s="209">
        <f>'Chen (2000)'!BH221</f>
        <v>0</v>
      </c>
      <c r="J20" s="196"/>
      <c r="K20" s="196"/>
      <c r="L20" s="196"/>
      <c r="M20" s="197"/>
      <c r="N20" s="41">
        <f>'Chen (2000)'!BM221</f>
        <v>0</v>
      </c>
    </row>
    <row r="21" spans="7:14" ht="15.75" x14ac:dyDescent="0.25">
      <c r="G21" s="113" t="s">
        <v>12</v>
      </c>
      <c r="H21" s="82">
        <f>'Chen (2000)'!BG222</f>
        <v>0</v>
      </c>
      <c r="I21" s="209">
        <f>'Chen (2000)'!BH222</f>
        <v>0</v>
      </c>
      <c r="J21" s="196"/>
      <c r="K21" s="196"/>
      <c r="L21" s="196"/>
      <c r="M21" s="197"/>
      <c r="N21" s="41">
        <f>'Chen (2000)'!BM222</f>
        <v>0</v>
      </c>
    </row>
    <row r="22" spans="7:14" ht="15.75" x14ac:dyDescent="0.25">
      <c r="G22" s="113" t="s">
        <v>13</v>
      </c>
      <c r="H22" s="82">
        <f>'Chen (2000)'!BG223</f>
        <v>0</v>
      </c>
      <c r="I22" s="209">
        <f>'Chen (2000)'!BH223</f>
        <v>0</v>
      </c>
      <c r="J22" s="196"/>
      <c r="K22" s="196"/>
      <c r="L22" s="196"/>
      <c r="M22" s="197"/>
      <c r="N22" s="41">
        <f>'Chen (2000)'!BM223</f>
        <v>0</v>
      </c>
    </row>
    <row r="23" spans="7:14" ht="16.5" thickBot="1" x14ac:dyDescent="0.3">
      <c r="G23" s="115" t="s">
        <v>14</v>
      </c>
      <c r="H23" s="84">
        <f>'Chen (2000)'!BG224</f>
        <v>0</v>
      </c>
      <c r="I23" s="273">
        <f>'Chen (2000)'!BH224</f>
        <v>0</v>
      </c>
      <c r="J23" s="198"/>
      <c r="K23" s="198"/>
      <c r="L23" s="198"/>
      <c r="M23" s="199"/>
      <c r="N23" s="52">
        <f>'Chen (2000)'!BM224</f>
        <v>0</v>
      </c>
    </row>
    <row r="24" spans="7:14" ht="15.75" x14ac:dyDescent="0.25">
      <c r="G24" s="114"/>
      <c r="H24" s="39"/>
      <c r="I24" s="124"/>
      <c r="J24" s="124"/>
      <c r="K24" s="124"/>
      <c r="L24" s="124"/>
      <c r="M24" s="124"/>
      <c r="N24" s="114"/>
    </row>
    <row r="25" spans="7:14" ht="15.75" x14ac:dyDescent="0.25">
      <c r="G25" s="114"/>
      <c r="H25" s="39"/>
      <c r="I25" s="124"/>
      <c r="J25" s="124"/>
      <c r="K25" s="124"/>
      <c r="L25" s="124"/>
      <c r="M25" s="124"/>
      <c r="N25" s="114"/>
    </row>
    <row r="26" spans="7:14" ht="15.75" x14ac:dyDescent="0.25">
      <c r="G26" s="114"/>
      <c r="H26" s="39"/>
      <c r="I26" s="124"/>
      <c r="J26" s="124"/>
      <c r="K26" s="124"/>
      <c r="L26" s="124"/>
      <c r="M26" s="124"/>
      <c r="N26" s="114"/>
    </row>
    <row r="27" spans="7:14" ht="15.75" x14ac:dyDescent="0.25">
      <c r="G27" s="114"/>
      <c r="H27" s="39"/>
      <c r="I27" s="124"/>
      <c r="J27" s="124"/>
      <c r="K27" s="124"/>
      <c r="L27" s="124"/>
      <c r="M27" s="124"/>
      <c r="N27" s="114"/>
    </row>
    <row r="28" spans="7:14" ht="15.75" x14ac:dyDescent="0.25">
      <c r="G28" s="114"/>
      <c r="H28" s="39"/>
      <c r="I28" s="124"/>
      <c r="J28" s="124"/>
      <c r="K28" s="124"/>
      <c r="L28" s="124"/>
      <c r="M28" s="124"/>
      <c r="N28" s="114"/>
    </row>
    <row r="29" spans="7:14" ht="15.75" x14ac:dyDescent="0.25">
      <c r="G29" s="114"/>
      <c r="H29" s="39"/>
      <c r="I29" s="124"/>
      <c r="J29" s="124"/>
      <c r="K29" s="124"/>
      <c r="L29" s="124"/>
      <c r="M29" s="124"/>
      <c r="N29" s="114"/>
    </row>
    <row r="30" spans="7:14" ht="15.75" x14ac:dyDescent="0.25">
      <c r="G30" s="114"/>
      <c r="H30" s="39"/>
      <c r="I30" s="124"/>
      <c r="J30" s="124"/>
      <c r="K30" s="124"/>
      <c r="L30" s="124"/>
      <c r="M30" s="124"/>
      <c r="N30" s="114"/>
    </row>
    <row r="31" spans="7:14" ht="15.75" x14ac:dyDescent="0.25">
      <c r="G31" s="114"/>
      <c r="H31" s="39"/>
      <c r="I31" s="124"/>
      <c r="J31" s="124"/>
      <c r="K31" s="124"/>
      <c r="L31" s="124"/>
      <c r="M31" s="124"/>
      <c r="N31" s="114"/>
    </row>
    <row r="32" spans="7:14" ht="15.75" x14ac:dyDescent="0.25">
      <c r="G32" s="114"/>
      <c r="H32" s="39"/>
      <c r="I32" s="124"/>
      <c r="J32" s="124"/>
      <c r="K32" s="124"/>
      <c r="L32" s="124"/>
      <c r="M32" s="124"/>
      <c r="N32" s="114"/>
    </row>
    <row r="33" spans="7:14" ht="15.75" x14ac:dyDescent="0.25">
      <c r="G33" s="114"/>
      <c r="H33" s="39"/>
      <c r="I33" s="124"/>
      <c r="J33" s="124"/>
      <c r="K33" s="124"/>
      <c r="L33" s="124"/>
      <c r="M33" s="124"/>
      <c r="N33" s="114"/>
    </row>
    <row r="34" spans="7:14" ht="15.75" x14ac:dyDescent="0.25">
      <c r="G34" s="114"/>
      <c r="H34" s="39"/>
      <c r="I34" s="124"/>
      <c r="J34" s="124"/>
      <c r="K34" s="124"/>
      <c r="L34" s="124"/>
      <c r="M34" s="124"/>
      <c r="N34" s="114"/>
    </row>
    <row r="35" spans="7:14" ht="15.75" x14ac:dyDescent="0.25">
      <c r="G35" s="114"/>
      <c r="H35" s="39"/>
      <c r="I35" s="124"/>
      <c r="J35" s="124"/>
      <c r="K35" s="124"/>
      <c r="L35" s="124"/>
      <c r="M35" s="124"/>
      <c r="N35" s="114"/>
    </row>
    <row r="36" spans="7:14" ht="15.75" x14ac:dyDescent="0.25">
      <c r="G36" s="114"/>
      <c r="H36" s="39"/>
      <c r="I36" s="124"/>
      <c r="J36" s="124"/>
      <c r="K36" s="124"/>
      <c r="L36" s="124"/>
      <c r="M36" s="124"/>
      <c r="N36" s="114"/>
    </row>
    <row r="37" spans="7:14" ht="15.75" x14ac:dyDescent="0.25">
      <c r="G37" s="114"/>
      <c r="H37" s="39"/>
      <c r="I37" s="124"/>
      <c r="J37" s="124"/>
      <c r="K37" s="124"/>
      <c r="L37" s="124"/>
      <c r="M37" s="124"/>
      <c r="N37" s="114"/>
    </row>
    <row r="38" spans="7:14" ht="15.75" x14ac:dyDescent="0.25">
      <c r="G38" s="114"/>
      <c r="H38" s="39"/>
      <c r="I38" s="124"/>
      <c r="J38" s="124"/>
      <c r="K38" s="124"/>
      <c r="L38" s="124"/>
      <c r="M38" s="124"/>
      <c r="N38" s="114"/>
    </row>
    <row r="39" spans="7:14" ht="15.75" x14ac:dyDescent="0.25">
      <c r="G39" s="114"/>
      <c r="H39" s="39"/>
      <c r="I39" s="124"/>
      <c r="J39" s="124"/>
      <c r="K39" s="124"/>
      <c r="L39" s="124"/>
      <c r="M39" s="124"/>
      <c r="N39" s="114"/>
    </row>
    <row r="40" spans="7:14" ht="15.75" x14ac:dyDescent="0.25">
      <c r="G40" s="114"/>
      <c r="H40" s="39"/>
      <c r="I40" s="124"/>
      <c r="J40" s="124"/>
      <c r="K40" s="124"/>
      <c r="L40" s="124"/>
      <c r="M40" s="124"/>
      <c r="N40" s="114"/>
    </row>
    <row r="41" spans="7:14" ht="15.75" x14ac:dyDescent="0.25">
      <c r="G41" s="114"/>
      <c r="H41" s="39"/>
      <c r="I41" s="124"/>
      <c r="J41" s="124"/>
      <c r="K41" s="124"/>
      <c r="L41" s="124"/>
      <c r="M41" s="124"/>
      <c r="N41" s="114"/>
    </row>
    <row r="42" spans="7:14" ht="15.75" x14ac:dyDescent="0.25">
      <c r="G42" s="114"/>
      <c r="H42" s="39"/>
      <c r="I42" s="124"/>
      <c r="J42" s="124"/>
      <c r="K42" s="124"/>
      <c r="L42" s="124"/>
      <c r="M42" s="124"/>
      <c r="N42" s="114"/>
    </row>
    <row r="43" spans="7:14" ht="15.75" x14ac:dyDescent="0.25">
      <c r="G43" s="114"/>
      <c r="H43" s="39"/>
      <c r="I43" s="124"/>
      <c r="J43" s="124"/>
      <c r="K43" s="124"/>
      <c r="L43" s="124"/>
      <c r="M43" s="124"/>
      <c r="N43" s="114"/>
    </row>
    <row r="44" spans="7:14" ht="15.75" x14ac:dyDescent="0.25">
      <c r="G44" s="114"/>
      <c r="H44" s="39"/>
      <c r="I44" s="124"/>
      <c r="J44" s="124"/>
      <c r="K44" s="124"/>
      <c r="L44" s="124"/>
      <c r="M44" s="124"/>
      <c r="N44" s="114"/>
    </row>
    <row r="45" spans="7:14" ht="15.75" x14ac:dyDescent="0.25">
      <c r="G45" s="114"/>
      <c r="H45" s="39"/>
      <c r="I45" s="124"/>
      <c r="J45" s="124"/>
      <c r="K45" s="124"/>
      <c r="L45" s="124"/>
      <c r="M45" s="124"/>
      <c r="N45" s="114"/>
    </row>
    <row r="46" spans="7:14" ht="15.75" x14ac:dyDescent="0.25">
      <c r="G46" s="114"/>
      <c r="H46" s="39"/>
      <c r="I46" s="124"/>
      <c r="J46" s="124"/>
      <c r="K46" s="124"/>
      <c r="L46" s="124"/>
      <c r="M46" s="124"/>
      <c r="N46" s="114"/>
    </row>
    <row r="47" spans="7:14" ht="15.75" x14ac:dyDescent="0.25">
      <c r="G47" s="114"/>
      <c r="H47" s="39"/>
      <c r="I47" s="124"/>
      <c r="J47" s="124"/>
      <c r="K47" s="124"/>
      <c r="L47" s="124"/>
      <c r="M47" s="124"/>
      <c r="N47" s="114"/>
    </row>
    <row r="48" spans="7:14" ht="15.75" x14ac:dyDescent="0.25">
      <c r="G48" s="114"/>
      <c r="H48" s="39"/>
      <c r="I48" s="124"/>
      <c r="J48" s="124"/>
      <c r="K48" s="124"/>
      <c r="L48" s="124"/>
      <c r="M48" s="124"/>
      <c r="N48" s="114"/>
    </row>
  </sheetData>
  <mergeCells count="16">
    <mergeCell ref="I13:M13"/>
    <mergeCell ref="G6:N7"/>
    <mergeCell ref="I9:M9"/>
    <mergeCell ref="I10:M10"/>
    <mergeCell ref="I11:M11"/>
    <mergeCell ref="I12:M12"/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2021-05-27T13:27:03Z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